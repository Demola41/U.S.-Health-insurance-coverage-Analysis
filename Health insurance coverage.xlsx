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esktop\Quantum Data Analysis Program\Excel\Project\"/>
    </mc:Choice>
  </mc:AlternateContent>
  <xr:revisionPtr revIDLastSave="0" documentId="13_ncr:1_{B90A72FD-A6B2-47DF-A608-444FF55B1DB5}" xr6:coauthVersionLast="47" xr6:coauthVersionMax="47" xr10:uidLastSave="{00000000-0000-0000-0000-000000000000}"/>
  <bookViews>
    <workbookView xWindow="-108" yWindow="-108" windowWidth="23256" windowHeight="13176" firstSheet="1" activeTab="2" xr2:uid="{FDE6C2F9-D69E-4A88-B9B8-D848C5386062}"/>
  </bookViews>
  <sheets>
    <sheet name="DATASET" sheetId="3" r:id="rId1"/>
    <sheet name="ANALYSIS" sheetId="2" r:id="rId2"/>
    <sheet name="DASHBOARD" sheetId="4" r:id="rId3"/>
  </sheets>
  <definedNames>
    <definedName name="ExternalData_1" localSheetId="0" hidden="1">DATASET!$A$1:$O$53</definedName>
    <definedName name="Slicer_State1">#N/A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 Insurrance_4405d3c1-cb89-45bd-9267-f1e2c7fb7d0a" name="Health Insurrance" connection="Query - Health Insurr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2" l="1"/>
  <c r="Z7" i="2"/>
  <c r="Y7" i="2"/>
  <c r="X7" i="2"/>
  <c r="W7" i="2"/>
  <c r="AC6" i="2"/>
  <c r="AB6" i="2"/>
  <c r="V6" i="2"/>
  <c r="I55" i="3"/>
  <c r="G55" i="3"/>
  <c r="F55" i="3"/>
  <c r="E55" i="3"/>
  <c r="D55" i="3"/>
  <c r="A55" i="3"/>
  <c r="O54" i="3"/>
  <c r="N5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FBC587-4B19-41C3-9F51-1B0C77957D6A}" keepAlive="1" name="ModelConnection_ExternalData_1" description="Data Model" type="5" refreshedVersion="8" minRefreshableVersion="5" saveData="1">
    <dbPr connection="Data Model Connection" command="Health Insurrance" commandType="3"/>
    <extLst>
      <ext xmlns:x15="http://schemas.microsoft.com/office/spreadsheetml/2010/11/main" uri="{DE250136-89BD-433C-8126-D09CA5730AF9}">
        <x15:connection id="" model="1"/>
      </ext>
    </extLst>
  </connection>
  <connection id="2" xr16:uid="{FCCC573F-1C54-4255-AA5B-9DA19B0C67B0}" name="Query - Health Insurrance" description="Connection to the 'Health Insurrance' query in the workbook." type="100" refreshedVersion="8" minRefreshableVersion="5">
    <extLst>
      <ext xmlns:x15="http://schemas.microsoft.com/office/spreadsheetml/2010/11/main" uri="{DE250136-89BD-433C-8126-D09CA5730AF9}">
        <x15:connection id="1c8d964e-2f56-47b5-885a-64b04464e5ae"/>
      </ext>
    </extLst>
  </connection>
  <connection id="3" xr16:uid="{E18A0080-19F1-48EB-A035-8D87793C13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<sst xmlns="http://schemas.openxmlformats.org/spreadsheetml/2006/main" count="180" uniqueCount="88">
  <si>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</si>
  <si>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</si>
  <si>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</si>
  <si>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</si>
  <si>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</si>
  <si>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</si>
  <si>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</si>
  <si>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</si>
  <si>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</si>
  <si>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</si>
  <si>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</si>
  <si>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</si>
  <si>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</si>
  <si>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</si>
  <si>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</si>
  <si>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</si>
  <si>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</si>
  <si>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</si>
  <si>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</si>
  <si>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</si>
  <si>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</si>
  <si>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</si>
  <si>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</si>
  <si>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</si>
  <si>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</si>
  <si>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</si>
  <si>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</si>
  <si>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</si>
  <si>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</si>
  <si>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</si>
  <si>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</si>
  <si>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</si>
  <si>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</si>
  <si>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</si>
  <si>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</si>
  <si>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</si>
  <si>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</si>
  <si>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</si>
  <si>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</si>
  <si>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</si>
  <si>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</si>
  <si>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</si>
  <si>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</si>
  <si>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</si>
  <si>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</si>
  <si>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</si>
  <si>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</si>
  <si>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</si>
  <si>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</si>
  <si>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</si>
  <si>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</si>
  <si>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Average of Uninsured Rate Change (2010-2015)</t>
  </si>
  <si>
    <t>State</t>
  </si>
  <si>
    <t>Sum of Health Insurance Coverage Change (2010-2015)</t>
  </si>
  <si>
    <t>FALSE</t>
  </si>
  <si>
    <t>TRUE</t>
  </si>
  <si>
    <t>Sum of Medicaid Enrollment Change (2013-2016)</t>
  </si>
  <si>
    <t>Sum of Employer Health Insurance Coverage (2015)</t>
  </si>
  <si>
    <t>State Medicaid Expansion</t>
  </si>
  <si>
    <t>Sum of Marketplace Health Insurance Coverage (2016)</t>
  </si>
  <si>
    <t>Sum of Average Monthly Tax Credit (2016)</t>
  </si>
  <si>
    <t>No</t>
  </si>
  <si>
    <t>Yes</t>
  </si>
  <si>
    <t xml:space="preserve">State </t>
  </si>
  <si>
    <t>KPI</t>
  </si>
  <si>
    <t>Uninsured Rate (2010)</t>
  </si>
  <si>
    <t>Uninsured Rate (2015)</t>
  </si>
  <si>
    <t>Uninsured Rate Change (2010-2015)</t>
  </si>
  <si>
    <t>Health Insurance Coverage Change (2010-2015)</t>
  </si>
  <si>
    <t>Employer Health Insurance Coverage (2015)</t>
  </si>
  <si>
    <t>Marketplace Health Insurance Coverage (2016)</t>
  </si>
  <si>
    <t>Marketplace Tax Credits (2016)</t>
  </si>
  <si>
    <t>Average Monthly Tax Credit (2016)</t>
  </si>
  <si>
    <t>State Medicaid Expansion (2016)</t>
  </si>
  <si>
    <t>Medicaid expansion status</t>
  </si>
  <si>
    <t>Medicaid Enrollment (2013)</t>
  </si>
  <si>
    <t>Medicaid Enrollment (2016)</t>
  </si>
  <si>
    <t>Medicaid Enrollment Change (2013-2016)</t>
  </si>
  <si>
    <t>Medicare Enrollment (2016)</t>
  </si>
  <si>
    <t>AVERAGE UNINSURED RATE CHANGE PER STATE</t>
  </si>
  <si>
    <t>TOTAL STATES</t>
  </si>
  <si>
    <t>TOTAL HEALTH INSURANCE COVERAGE CHANGE</t>
  </si>
  <si>
    <t>TOTAL Employer Health Insurance Coverage (2015)</t>
  </si>
  <si>
    <t>TOTAL Marketplace Health Insurance Coverage (2016)</t>
  </si>
  <si>
    <t>AVERAGE MONTHLY TAX CREDIT PER STATE (2016)</t>
  </si>
  <si>
    <t>TOTAL MEDICARE ENROLEMENT</t>
  </si>
  <si>
    <t>TOTAL MEDICAID ENROLLMENT CHANGE (2013 - 2016)</t>
  </si>
  <si>
    <t>TOTAL AMOUNT OF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</si>
</sst>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quot;$&quot;#,##0"/>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4" tint="-0.49998474074526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0" fontId="0" fillId="0" borderId="0" xfId="3" applyNumberFormat="1" applyFont="1"/>
    <xf numFmtId="10" fontId="0" fillId="0" borderId="0" xfId="0" applyNumberFormat="1"/>
    <xf numFmtId="0" fontId="0" fillId="2" borderId="0" xfId="0" applyFill="1"/>
    <xf numFmtId="164" fontId="0" fillId="0" borderId="0" xfId="1" applyNumberFormat="1" applyFont="1"/>
    <xf numFmtId="164" fontId="0" fillId="0" borderId="0" xfId="0" applyNumberFormat="1"/>
    <xf numFmtId="164" fontId="0" fillId="2" borderId="0" xfId="1" applyNumberFormat="1" applyFont="1" applyFill="1"/>
    <xf numFmtId="165" fontId="0" fillId="0" borderId="0" xfId="2" applyNumberFormat="1" applyFont="1"/>
    <xf numFmtId="165" fontId="0" fillId="3" borderId="0" xfId="2" applyNumberFormat="1" applyFont="1" applyFill="1"/>
    <xf numFmtId="0" fontId="0" fillId="3" borderId="0" xfId="0" applyFill="1"/>
    <xf numFmtId="166" fontId="0" fillId="0" borderId="0" xfId="0" applyNumberFormat="1"/>
  </cellXfs>
  <cellStyles count="4">
    <cellStyle name="Comma" xfId="1" builtinId="3"/>
    <cellStyle name="Currency" xfId="2" builtinId="4"/>
    <cellStyle name="Normal" xfId="0" builtinId="0"/>
    <cellStyle name="Percent" xfId="3" builtinId="5"/>
  </cellStyles>
  <dxfs count="34">
    <dxf>
      <numFmt numFmtId="164" formatCode="_(* #,##0_);_(* \(#,##0\);_(* &quot;-&quot;??_);_(@_)"/>
    </dxf>
    <dxf>
      <numFmt numFmtId="164" formatCode="_(* #,##0_);_(* \(#,##0\);_(* &quot;-&quot;??_);_(@_)"/>
    </dxf>
    <dxf>
      <numFmt numFmtId="166" formatCode="&quot;$&quot;#,##0"/>
    </dxf>
    <dxf>
      <numFmt numFmtId="166" formatCode="&quot;$&quot;#,##0"/>
    </dxf>
    <dxf>
      <numFmt numFmtId="164" formatCode="_(* #,##0_);_(* \(#,##0\);_(* &quot;-&quot;??_);_(@_)"/>
    </dxf>
    <dxf>
      <numFmt numFmtId="14" formatCode="0.00%"/>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quot;$&quot;#,##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ont>
        <b/>
        <i val="0"/>
        <sz val="28"/>
        <color rgb="FF385F7C"/>
        <name val="Aptos Narrow"/>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diagonalUp="0" diagonalDown="0">
        <left/>
        <right/>
        <top/>
        <bottom/>
        <vertical/>
        <horizontal/>
      </border>
    </dxf>
    <dxf>
      <font>
        <color theme="1"/>
      </font>
      <fill>
        <patternFill patternType="solid">
          <bgColor theme="3" tint="0.89996032593768116"/>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StyleLight1 2" pivot="0" table="0" count="10" xr9:uid="{FD2A6957-2E9F-4C80-A4A0-EC8A70E33601}">
      <tableStyleElement type="wholeTable" dxfId="33"/>
      <tableStyleElement type="headerRow" dxfId="32"/>
    </tableStyle>
    <tableStyle name="SlicerStyleLight1 3" pivot="0" table="0" count="10" xr9:uid="{80E84D46-6759-4AA9-86D7-8B3387C6532E}">
      <tableStyleElement type="wholeTable" dxfId="31"/>
      <tableStyleElement type="headerRow" dxfId="30"/>
    </tableStyle>
  </tableStyles>
  <colors>
    <mruColors>
      <color rgb="FF385F7C"/>
      <color rgb="FFCCDCE8"/>
      <color rgb="FFF8F9FA"/>
      <color rgb="FFF0F4F6"/>
      <color rgb="FFE1EAF1"/>
      <color rgb="FF4F0E01"/>
      <color rgb="FFFEC0B4"/>
      <color rgb="FFFE9F8C"/>
      <color rgb="FFB21F0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4"/>
            <color theme="3"/>
            <name val="Aptos Narrow"/>
            <family val="2"/>
            <scheme val="min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3" tint="0.89996032593768116"/>
            </patternFill>
          </fill>
          <border diagonalUp="0" diagonalDown="0">
            <left/>
            <right/>
            <top/>
            <bottom/>
            <vertical/>
            <horizontal/>
          </border>
        </dxf>
        <dxf>
          <font>
            <b/>
            <i val="0"/>
            <sz val="20"/>
            <color rgb="FF385F7C"/>
            <name val="Aptos Narrow"/>
            <family val="2"/>
            <scheme val="minor"/>
          </font>
          <fill>
            <patternFill patternType="solid">
              <fgColor theme="4" tint="0.59999389629810485"/>
              <bgColor theme="3" tint="0.89996032593768116"/>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theme="3" tint="0.89996032593768116"/>
            </patternFill>
          </fill>
          <border diagonalUp="0" diagonalDown="0">
            <left/>
            <right/>
            <top/>
            <bottom/>
            <vertical/>
            <horizontal/>
          </border>
        </dxf>
        <dxf>
          <font>
            <color rgb="FF000000"/>
          </font>
          <fill>
            <patternFill patternType="solid">
              <fgColor rgb="FFFFFFFF"/>
              <bgColor theme="3" tint="0.8999603259376811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6.xlsx]ANALYSIS!PivotTable1</c:name>
    <c:fmtId val="2"/>
  </c:pivotSource>
  <c:chart>
    <c:autoTitleDeleted val="1"/>
    <c:pivotFmts>
      <c:pivotFmt>
        <c:idx val="0"/>
        <c:spPr>
          <a:solidFill>
            <a:schemeClr val="accent1"/>
          </a:solidFill>
          <a:ln w="15875" cap="sq">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w="15875" cap="sq">
              <a:solidFill>
                <a:schemeClr val="accent1"/>
              </a:solidFill>
            </a:ln>
            <a:effectLst/>
          </c:spPr>
          <c:invertIfNegative val="0"/>
          <c:cat>
            <c:strRef>
              <c:f>ANALYSIS!$A$2:$A$6</c:f>
              <c:strCache>
                <c:ptCount val="5"/>
                <c:pt idx="0">
                  <c:v>Nevada</c:v>
                </c:pt>
                <c:pt idx="1">
                  <c:v>Oregon</c:v>
                </c:pt>
                <c:pt idx="2">
                  <c:v>California</c:v>
                </c:pt>
                <c:pt idx="3">
                  <c:v>Kentucky</c:v>
                </c:pt>
                <c:pt idx="4">
                  <c:v>New Mexico</c:v>
                </c:pt>
              </c:strCache>
            </c:strRef>
          </c:cat>
          <c:val>
            <c:numRef>
              <c:f>ANALYSIS!$B$2:$B$6</c:f>
              <c:numCache>
                <c:formatCode>0.00%</c:formatCode>
                <c:ptCount val="5"/>
                <c:pt idx="0">
                  <c:v>0.10299999999999999</c:v>
                </c:pt>
                <c:pt idx="1">
                  <c:v>0.10100000000000001</c:v>
                </c:pt>
                <c:pt idx="2">
                  <c:v>9.9000000000000005E-2</c:v>
                </c:pt>
                <c:pt idx="3">
                  <c:v>9.2999999999999999E-2</c:v>
                </c:pt>
                <c:pt idx="4">
                  <c:v>8.6999999999999994E-2</c:v>
                </c:pt>
              </c:numCache>
            </c:numRef>
          </c:val>
          <c:extLst>
            <c:ext xmlns:c16="http://schemas.microsoft.com/office/drawing/2014/chart" uri="{C3380CC4-5D6E-409C-BE32-E72D297353CC}">
              <c16:uniqueId val="{00000000-DB85-4034-B666-16586F17543F}"/>
            </c:ext>
          </c:extLst>
        </c:ser>
        <c:dLbls>
          <c:showLegendKey val="0"/>
          <c:showVal val="0"/>
          <c:showCatName val="0"/>
          <c:showSerName val="0"/>
          <c:showPercent val="0"/>
          <c:showBubbleSize val="0"/>
        </c:dLbls>
        <c:gapWidth val="219"/>
        <c:overlap val="-27"/>
        <c:axId val="617461487"/>
        <c:axId val="617461967"/>
      </c:barChart>
      <c:catAx>
        <c:axId val="6174614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17461967"/>
        <c:crosses val="autoZero"/>
        <c:auto val="1"/>
        <c:lblAlgn val="ctr"/>
        <c:lblOffset val="100"/>
        <c:noMultiLvlLbl val="0"/>
      </c:catAx>
      <c:valAx>
        <c:axId val="617461967"/>
        <c:scaling>
          <c:orientation val="minMax"/>
        </c:scaling>
        <c:delete val="1"/>
        <c:axPos val="l"/>
        <c:numFmt formatCode="0.00%" sourceLinked="1"/>
        <c:majorTickMark val="none"/>
        <c:minorTickMark val="none"/>
        <c:tickLblPos val="nextTo"/>
        <c:crossAx val="61746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6.xlsx]ANALYSIS!PivotTable2</c:name>
    <c:fmtId val="4"/>
  </c:pivotSource>
  <c:chart>
    <c:autoTitleDeleted val="1"/>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dLbls>
            <c:numFmt formatCode="0.0,,\ &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ANALYSIS!$D$2:$D$6</c:f>
              <c:strCache>
                <c:ptCount val="5"/>
                <c:pt idx="0">
                  <c:v>California</c:v>
                </c:pt>
                <c:pt idx="1">
                  <c:v>Texas</c:v>
                </c:pt>
                <c:pt idx="2">
                  <c:v>Florida</c:v>
                </c:pt>
                <c:pt idx="3">
                  <c:v>New York</c:v>
                </c:pt>
                <c:pt idx="4">
                  <c:v>Illinois</c:v>
                </c:pt>
              </c:strCache>
            </c:strRef>
          </c:cat>
          <c:val>
            <c:numRef>
              <c:f>ANALYSIS!$E$2:$E$6</c:f>
              <c:numCache>
                <c:formatCode>_(* #,##0_);_(* \(#,##0\);_(* "-"??_);_(@_)</c:formatCode>
                <c:ptCount val="5"/>
                <c:pt idx="0">
                  <c:v>3826000</c:v>
                </c:pt>
                <c:pt idx="1">
                  <c:v>1781000</c:v>
                </c:pt>
                <c:pt idx="2">
                  <c:v>1597000</c:v>
                </c:pt>
                <c:pt idx="3">
                  <c:v>939000</c:v>
                </c:pt>
                <c:pt idx="4">
                  <c:v>850000</c:v>
                </c:pt>
              </c:numCache>
            </c:numRef>
          </c:val>
          <c:extLst>
            <c:ext xmlns:c16="http://schemas.microsoft.com/office/drawing/2014/chart" uri="{C3380CC4-5D6E-409C-BE32-E72D297353CC}">
              <c16:uniqueId val="{00000000-0941-4EC1-8158-FB9E5B93E944}"/>
            </c:ext>
          </c:extLst>
        </c:ser>
        <c:dLbls>
          <c:dLblPos val="outEnd"/>
          <c:showLegendKey val="0"/>
          <c:showVal val="1"/>
          <c:showCatName val="0"/>
          <c:showSerName val="0"/>
          <c:showPercent val="0"/>
          <c:showBubbleSize val="0"/>
        </c:dLbls>
        <c:gapWidth val="219"/>
        <c:overlap val="-27"/>
        <c:axId val="98987023"/>
        <c:axId val="98971183"/>
      </c:barChart>
      <c:catAx>
        <c:axId val="9898702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8971183"/>
        <c:crosses val="autoZero"/>
        <c:auto val="1"/>
        <c:lblAlgn val="ctr"/>
        <c:lblOffset val="100"/>
        <c:noMultiLvlLbl val="0"/>
      </c:catAx>
      <c:valAx>
        <c:axId val="98971183"/>
        <c:scaling>
          <c:orientation val="minMax"/>
        </c:scaling>
        <c:delete val="1"/>
        <c:axPos val="l"/>
        <c:numFmt formatCode="_(* #,##0_);_(* \(#,##0\);_(* &quot;-&quot;??_);_(@_)" sourceLinked="1"/>
        <c:majorTickMark val="none"/>
        <c:minorTickMark val="none"/>
        <c:tickLblPos val="nextTo"/>
        <c:crossAx val="9898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6.xlsx]ANALYSIS!PivotTable5</c:name>
    <c:fmtId val="13"/>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ANALYSIS!$K$2</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ANALYSIS!$J$3:$J$7</c:f>
              <c:strCache>
                <c:ptCount val="5"/>
                <c:pt idx="0">
                  <c:v>Georgia</c:v>
                </c:pt>
                <c:pt idx="1">
                  <c:v>North Carolina</c:v>
                </c:pt>
                <c:pt idx="2">
                  <c:v>Texas</c:v>
                </c:pt>
                <c:pt idx="3">
                  <c:v>California</c:v>
                </c:pt>
                <c:pt idx="4">
                  <c:v>Florida</c:v>
                </c:pt>
              </c:strCache>
            </c:strRef>
          </c:cat>
          <c:val>
            <c:numRef>
              <c:f>ANALYSIS!$K$3:$K$7</c:f>
              <c:numCache>
                <c:formatCode>_(* #,##0_);_(* \(#,##0\);_(* "-"??_);_(@_)</c:formatCode>
                <c:ptCount val="5"/>
                <c:pt idx="0">
                  <c:v>478016</c:v>
                </c:pt>
                <c:pt idx="1">
                  <c:v>545354</c:v>
                </c:pt>
                <c:pt idx="2">
                  <c:v>1092650</c:v>
                </c:pt>
                <c:pt idx="3">
                  <c:v>1415428</c:v>
                </c:pt>
                <c:pt idx="4">
                  <c:v>1531714</c:v>
                </c:pt>
              </c:numCache>
            </c:numRef>
          </c:val>
          <c:extLst>
            <c:ext xmlns:c16="http://schemas.microsoft.com/office/drawing/2014/chart" uri="{C3380CC4-5D6E-409C-BE32-E72D297353CC}">
              <c16:uniqueId val="{00000000-BC2E-4C11-B3FA-04C45A4479E6}"/>
            </c:ext>
          </c:extLst>
        </c:ser>
        <c:dLbls>
          <c:dLblPos val="outEnd"/>
          <c:showLegendKey val="0"/>
          <c:showVal val="1"/>
          <c:showCatName val="0"/>
          <c:showSerName val="0"/>
          <c:showPercent val="0"/>
          <c:showBubbleSize val="0"/>
        </c:dLbls>
        <c:gapWidth val="99"/>
        <c:axId val="617471567"/>
        <c:axId val="1859249279"/>
      </c:barChart>
      <c:catAx>
        <c:axId val="617471567"/>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859249279"/>
        <c:crosses val="autoZero"/>
        <c:auto val="1"/>
        <c:lblAlgn val="ctr"/>
        <c:lblOffset val="100"/>
        <c:noMultiLvlLbl val="0"/>
      </c:catAx>
      <c:valAx>
        <c:axId val="1859249279"/>
        <c:scaling>
          <c:orientation val="minMax"/>
        </c:scaling>
        <c:delete val="1"/>
        <c:axPos val="b"/>
        <c:numFmt formatCode="_(* #,##0_);_(* \(#,##0\);_(* &quot;-&quot;??_);_(@_)" sourceLinked="1"/>
        <c:majorTickMark val="out"/>
        <c:minorTickMark val="none"/>
        <c:tickLblPos val="nextTo"/>
        <c:crossAx val="6174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6.xlsx]ANALYSIS!PivotTable6</c:name>
    <c:fmtId val="13"/>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ANALYSIS!$P$2:$P$6</c:f>
              <c:strCache>
                <c:ptCount val="5"/>
                <c:pt idx="0">
                  <c:v>Alaska</c:v>
                </c:pt>
                <c:pt idx="1">
                  <c:v>Wyoming</c:v>
                </c:pt>
                <c:pt idx="2">
                  <c:v>North Carolina</c:v>
                </c:pt>
                <c:pt idx="3">
                  <c:v>West Virginia</c:v>
                </c:pt>
                <c:pt idx="4">
                  <c:v>Louisiana</c:v>
                </c:pt>
              </c:strCache>
            </c:strRef>
          </c:cat>
          <c:val>
            <c:numRef>
              <c:f>ANALYSIS!$Q$2:$Q$6</c:f>
              <c:numCache>
                <c:formatCode>"$"#,##0</c:formatCode>
                <c:ptCount val="5"/>
                <c:pt idx="0">
                  <c:v>750</c:v>
                </c:pt>
                <c:pt idx="1">
                  <c:v>459</c:v>
                </c:pt>
                <c:pt idx="2">
                  <c:v>401</c:v>
                </c:pt>
                <c:pt idx="3">
                  <c:v>388</c:v>
                </c:pt>
                <c:pt idx="4">
                  <c:v>362</c:v>
                </c:pt>
              </c:numCache>
            </c:numRef>
          </c:val>
          <c:extLst>
            <c:ext xmlns:c16="http://schemas.microsoft.com/office/drawing/2014/chart" uri="{C3380CC4-5D6E-409C-BE32-E72D297353CC}">
              <c16:uniqueId val="{00000000-E811-4C57-8D85-6AF8BEAA3EA4}"/>
            </c:ext>
          </c:extLst>
        </c:ser>
        <c:dLbls>
          <c:dLblPos val="outEnd"/>
          <c:showLegendKey val="0"/>
          <c:showVal val="1"/>
          <c:showCatName val="0"/>
          <c:showSerName val="0"/>
          <c:showPercent val="0"/>
          <c:showBubbleSize val="0"/>
        </c:dLbls>
        <c:gapWidth val="99"/>
        <c:overlap val="-27"/>
        <c:axId val="1856953711"/>
        <c:axId val="1856948911"/>
      </c:barChart>
      <c:catAx>
        <c:axId val="185695371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56948911"/>
        <c:crosses val="autoZero"/>
        <c:auto val="1"/>
        <c:lblAlgn val="ctr"/>
        <c:lblOffset val="100"/>
        <c:noMultiLvlLbl val="0"/>
      </c:catAx>
      <c:valAx>
        <c:axId val="1856948911"/>
        <c:scaling>
          <c:orientation val="minMax"/>
        </c:scaling>
        <c:delete val="1"/>
        <c:axPos val="l"/>
        <c:numFmt formatCode="&quot;$&quot;#,##0" sourceLinked="1"/>
        <c:majorTickMark val="none"/>
        <c:minorTickMark val="none"/>
        <c:tickLblPos val="nextTo"/>
        <c:crossAx val="185695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6.xlsx]ANALYSIS!PivotTable7</c:name>
    <c:fmtId val="15"/>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ANALYSIS!$S$2:$S$6</c:f>
              <c:strCache>
                <c:ptCount val="5"/>
                <c:pt idx="0">
                  <c:v>Ohio</c:v>
                </c:pt>
                <c:pt idx="1">
                  <c:v>Washington</c:v>
                </c:pt>
                <c:pt idx="2">
                  <c:v>New York</c:v>
                </c:pt>
                <c:pt idx="3">
                  <c:v>Connecticut</c:v>
                </c:pt>
                <c:pt idx="4">
                  <c:v>California</c:v>
                </c:pt>
              </c:strCache>
            </c:strRef>
          </c:cat>
          <c:val>
            <c:numRef>
              <c:f>ANALYSIS!$T$2:$T$6</c:f>
              <c:numCache>
                <c:formatCode>_(* #,##0_);_(* \(#,##0\);_(* "-"??_);_(@_)</c:formatCode>
                <c:ptCount val="5"/>
                <c:pt idx="0">
                  <c:v>661689</c:v>
                </c:pt>
                <c:pt idx="1">
                  <c:v>670960</c:v>
                </c:pt>
                <c:pt idx="2">
                  <c:v>752748</c:v>
                </c:pt>
                <c:pt idx="3">
                  <c:v>761137</c:v>
                </c:pt>
                <c:pt idx="4">
                  <c:v>4087700</c:v>
                </c:pt>
              </c:numCache>
            </c:numRef>
          </c:val>
          <c:extLst>
            <c:ext xmlns:c16="http://schemas.microsoft.com/office/drawing/2014/chart" uri="{C3380CC4-5D6E-409C-BE32-E72D297353CC}">
              <c16:uniqueId val="{00000000-92BE-4532-8A6F-71674CF13082}"/>
            </c:ext>
          </c:extLst>
        </c:ser>
        <c:dLbls>
          <c:dLblPos val="outEnd"/>
          <c:showLegendKey val="0"/>
          <c:showVal val="1"/>
          <c:showCatName val="0"/>
          <c:showSerName val="0"/>
          <c:showPercent val="0"/>
          <c:showBubbleSize val="0"/>
        </c:dLbls>
        <c:gapWidth val="99"/>
        <c:axId val="1856988751"/>
        <c:axId val="1856984911"/>
      </c:barChart>
      <c:catAx>
        <c:axId val="185698875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2200" b="0" i="0" u="none" strike="noStrike" kern="1200" baseline="0">
                <a:solidFill>
                  <a:sysClr val="windowText" lastClr="000000"/>
                </a:solidFill>
                <a:latin typeface="+mn-lt"/>
                <a:ea typeface="+mn-ea"/>
                <a:cs typeface="+mn-cs"/>
              </a:defRPr>
            </a:pPr>
            <a:endParaRPr lang="en-US"/>
          </a:p>
        </c:txPr>
        <c:crossAx val="1856984911"/>
        <c:crosses val="autoZero"/>
        <c:auto val="1"/>
        <c:lblAlgn val="ctr"/>
        <c:lblOffset val="100"/>
        <c:noMultiLvlLbl val="0"/>
      </c:catAx>
      <c:valAx>
        <c:axId val="1856984911"/>
        <c:scaling>
          <c:orientation val="minMax"/>
        </c:scaling>
        <c:delete val="1"/>
        <c:axPos val="b"/>
        <c:numFmt formatCode="_(* #,##0_);_(* \(#,##0\);_(* &quot;-&quot;??_);_(@_)" sourceLinked="1"/>
        <c:majorTickMark val="none"/>
        <c:minorTickMark val="none"/>
        <c:tickLblPos val="nextTo"/>
        <c:crossAx val="185698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6.xlsx]ANALYSIS!PivotTable3</c:name>
    <c:fmtId val="15"/>
  </c:pivotSource>
  <c:chart>
    <c:autoTitleDeleted val="1"/>
    <c:pivotFmts>
      <c:pivotFmt>
        <c:idx val="0"/>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c:f>
              <c:strCache>
                <c:ptCount val="1"/>
                <c:pt idx="0">
                  <c:v>Total</c:v>
                </c:pt>
              </c:strCache>
            </c:strRef>
          </c:tx>
          <c:spPr>
            <a:solidFill>
              <a:schemeClr val="accent1"/>
            </a:solidFill>
            <a:ln>
              <a:noFill/>
            </a:ln>
            <a:effectLst/>
          </c:spPr>
          <c:invertIfNegative val="0"/>
          <c:dLbls>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ANALYSIS!$G$2:$G$6</c:f>
              <c:strCache>
                <c:ptCount val="5"/>
                <c:pt idx="0">
                  <c:v>California</c:v>
                </c:pt>
                <c:pt idx="1">
                  <c:v>Texas</c:v>
                </c:pt>
                <c:pt idx="2">
                  <c:v>New York</c:v>
                </c:pt>
                <c:pt idx="3">
                  <c:v>Florida</c:v>
                </c:pt>
                <c:pt idx="4">
                  <c:v>Pennsylvania</c:v>
                </c:pt>
              </c:strCache>
            </c:strRef>
          </c:cat>
          <c:val>
            <c:numRef>
              <c:f>ANALYSIS!$H$2:$H$6</c:f>
              <c:numCache>
                <c:formatCode>_(* #,##0_);_(* \(#,##0\);_(* "-"??_);_(@_)</c:formatCode>
                <c:ptCount val="5"/>
                <c:pt idx="0">
                  <c:v>19552000</c:v>
                </c:pt>
                <c:pt idx="1">
                  <c:v>13709000</c:v>
                </c:pt>
                <c:pt idx="2">
                  <c:v>10895000</c:v>
                </c:pt>
                <c:pt idx="3">
                  <c:v>8847000</c:v>
                </c:pt>
                <c:pt idx="4">
                  <c:v>7502000</c:v>
                </c:pt>
              </c:numCache>
            </c:numRef>
          </c:val>
          <c:extLst>
            <c:ext xmlns:c16="http://schemas.microsoft.com/office/drawing/2014/chart" uri="{C3380CC4-5D6E-409C-BE32-E72D297353CC}">
              <c16:uniqueId val="{00000000-4572-4FCC-A291-0AF0AFA91E38}"/>
            </c:ext>
          </c:extLst>
        </c:ser>
        <c:dLbls>
          <c:dLblPos val="outEnd"/>
          <c:showLegendKey val="0"/>
          <c:showVal val="1"/>
          <c:showCatName val="0"/>
          <c:showSerName val="0"/>
          <c:showPercent val="0"/>
          <c:showBubbleSize val="0"/>
        </c:dLbls>
        <c:gapWidth val="219"/>
        <c:overlap val="-27"/>
        <c:axId val="617478767"/>
        <c:axId val="617470607"/>
      </c:barChart>
      <c:catAx>
        <c:axId val="6174787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617470607"/>
        <c:crosses val="autoZero"/>
        <c:auto val="1"/>
        <c:lblAlgn val="ctr"/>
        <c:lblOffset val="100"/>
        <c:noMultiLvlLbl val="0"/>
      </c:catAx>
      <c:valAx>
        <c:axId val="617470607"/>
        <c:scaling>
          <c:orientation val="minMax"/>
        </c:scaling>
        <c:delete val="1"/>
        <c:axPos val="l"/>
        <c:numFmt formatCode="_(* #,##0_);_(* \(#,##0\);_(* &quot;-&quot;??_);_(@_)" sourceLinked="1"/>
        <c:majorTickMark val="none"/>
        <c:minorTickMark val="none"/>
        <c:tickLblPos val="nextTo"/>
        <c:crossAx val="6174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6.xlsx]ANALYSIS!PivotTable4</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ANALYSIS!$N$1</c:f>
              <c:strCache>
                <c:ptCount val="1"/>
                <c:pt idx="0">
                  <c:v>Total</c:v>
                </c:pt>
              </c:strCache>
            </c:strRef>
          </c:tx>
          <c:dPt>
            <c:idx val="0"/>
            <c:bubble3D val="0"/>
            <c:spPr>
              <a:solidFill>
                <a:srgbClr val="CCDCE8"/>
              </a:solidFill>
              <a:ln w="19050">
                <a:solidFill>
                  <a:schemeClr val="lt1"/>
                </a:solidFill>
              </a:ln>
              <a:effectLst/>
            </c:spPr>
            <c:extLst>
              <c:ext xmlns:c16="http://schemas.microsoft.com/office/drawing/2014/chart" uri="{C3380CC4-5D6E-409C-BE32-E72D297353CC}">
                <c16:uniqueId val="{00000001-9D21-4D0B-82DF-E4475F25353B}"/>
              </c:ext>
            </c:extLst>
          </c:dPt>
          <c:dPt>
            <c:idx val="1"/>
            <c:bubble3D val="0"/>
            <c:spPr>
              <a:solidFill>
                <a:srgbClr val="385F7C"/>
              </a:solidFill>
              <a:ln w="19050">
                <a:solidFill>
                  <a:schemeClr val="lt1"/>
                </a:solidFill>
              </a:ln>
              <a:effectLst/>
            </c:spPr>
            <c:extLst>
              <c:ext xmlns:c16="http://schemas.microsoft.com/office/drawing/2014/chart" uri="{C3380CC4-5D6E-409C-BE32-E72D297353CC}">
                <c16:uniqueId val="{00000003-9D21-4D0B-82DF-E4475F25353B}"/>
              </c:ext>
            </c:extLst>
          </c:dPt>
          <c:dLbls>
            <c:dLbl>
              <c:idx val="0"/>
              <c:layout>
                <c:manualLayout>
                  <c:x val="-0.12499999999999997"/>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21-4D0B-82DF-E4475F25353B}"/>
                </c:ext>
              </c:extLst>
            </c:dLbl>
            <c:dLbl>
              <c:idx val="1"/>
              <c:layout>
                <c:manualLayout>
                  <c:x val="0.15833333333333344"/>
                  <c:y val="-9.25925925925926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21-4D0B-82DF-E4475F2535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ANALYSIS!$M$2:$M$3</c:f>
              <c:strCache>
                <c:ptCount val="2"/>
                <c:pt idx="0">
                  <c:v>FALSE</c:v>
                </c:pt>
                <c:pt idx="1">
                  <c:v>TRUE</c:v>
                </c:pt>
              </c:strCache>
            </c:strRef>
          </c:cat>
          <c:val>
            <c:numRef>
              <c:f>ANALYSIS!$N$2:$N$3</c:f>
              <c:numCache>
                <c:formatCode>_(* #,##0_);_(* \(#,##0\);_(* "-"??_);_(@_)</c:formatCode>
                <c:ptCount val="2"/>
                <c:pt idx="0">
                  <c:v>6915000</c:v>
                </c:pt>
                <c:pt idx="1">
                  <c:v>12674000</c:v>
                </c:pt>
              </c:numCache>
            </c:numRef>
          </c:val>
          <c:extLst>
            <c:ext xmlns:c16="http://schemas.microsoft.com/office/drawing/2014/chart" uri="{C3380CC4-5D6E-409C-BE32-E72D297353CC}">
              <c16:uniqueId val="{00000004-9D21-4D0B-82DF-E4475F25353B}"/>
            </c:ext>
          </c:extLst>
        </c:ser>
        <c:dLbls>
          <c:showLegendKey val="0"/>
          <c:showVal val="1"/>
          <c:showCatName val="0"/>
          <c:showSerName val="0"/>
          <c:showPercent val="0"/>
          <c:showBubbleSize val="0"/>
          <c:showLeaderLines val="1"/>
        </c:dLbls>
        <c:firstSliceAng val="197"/>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6.xlsx]ANALYSIS!PivotTable1</c:name>
    <c:fmtId val="6"/>
  </c:pivotSource>
  <c:chart>
    <c:autoTitleDeleted val="1"/>
    <c:pivotFmts>
      <c:pivotFmt>
        <c:idx val="0"/>
        <c:spPr>
          <a:solidFill>
            <a:schemeClr val="accent1"/>
          </a:solidFill>
          <a:ln w="15875" cap="sq">
            <a:solidFill>
              <a:schemeClr val="accent1"/>
            </a:solidFill>
          </a:ln>
          <a:effectLst/>
        </c:spPr>
        <c:marker>
          <c:symbol val="none"/>
        </c:marker>
      </c:pivotFmt>
      <c:pivotFmt>
        <c:idx val="1"/>
        <c:spPr>
          <a:solidFill>
            <a:schemeClr val="accent1"/>
          </a:solidFill>
          <a:ln w="15875" cap="sq">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ANALYSIS!$A$2:$A$6</c:f>
              <c:strCache>
                <c:ptCount val="5"/>
                <c:pt idx="0">
                  <c:v>Nevada</c:v>
                </c:pt>
                <c:pt idx="1">
                  <c:v>Oregon</c:v>
                </c:pt>
                <c:pt idx="2">
                  <c:v>California</c:v>
                </c:pt>
                <c:pt idx="3">
                  <c:v>Kentucky</c:v>
                </c:pt>
                <c:pt idx="4">
                  <c:v>New Mexico</c:v>
                </c:pt>
              </c:strCache>
            </c:strRef>
          </c:cat>
          <c:val>
            <c:numRef>
              <c:f>ANALYSIS!$B$2:$B$6</c:f>
              <c:numCache>
                <c:formatCode>0.00%</c:formatCode>
                <c:ptCount val="5"/>
                <c:pt idx="0">
                  <c:v>0.10299999999999999</c:v>
                </c:pt>
                <c:pt idx="1">
                  <c:v>0.10100000000000001</c:v>
                </c:pt>
                <c:pt idx="2">
                  <c:v>9.9000000000000005E-2</c:v>
                </c:pt>
                <c:pt idx="3">
                  <c:v>9.2999999999999999E-2</c:v>
                </c:pt>
                <c:pt idx="4">
                  <c:v>8.6999999999999994E-2</c:v>
                </c:pt>
              </c:numCache>
            </c:numRef>
          </c:val>
          <c:extLst>
            <c:ext xmlns:c16="http://schemas.microsoft.com/office/drawing/2014/chart" uri="{C3380CC4-5D6E-409C-BE32-E72D297353CC}">
              <c16:uniqueId val="{00000000-A587-4D82-85D7-75FF22BF7C9A}"/>
            </c:ext>
          </c:extLst>
        </c:ser>
        <c:dLbls>
          <c:showLegendKey val="0"/>
          <c:showVal val="0"/>
          <c:showCatName val="0"/>
          <c:showSerName val="0"/>
          <c:showPercent val="0"/>
          <c:showBubbleSize val="0"/>
        </c:dLbls>
        <c:gapWidth val="99"/>
        <c:axId val="617461487"/>
        <c:axId val="617461967"/>
      </c:barChart>
      <c:catAx>
        <c:axId val="617461487"/>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2100" b="0"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617461967"/>
        <c:crosses val="autoZero"/>
        <c:auto val="1"/>
        <c:lblAlgn val="ctr"/>
        <c:lblOffset val="100"/>
        <c:noMultiLvlLbl val="0"/>
      </c:catAx>
      <c:valAx>
        <c:axId val="617461967"/>
        <c:scaling>
          <c:orientation val="minMax"/>
        </c:scaling>
        <c:delete val="1"/>
        <c:axPos val="l"/>
        <c:numFmt formatCode="0.00%" sourceLinked="1"/>
        <c:majorTickMark val="none"/>
        <c:minorTickMark val="none"/>
        <c:tickLblPos val="nextTo"/>
        <c:crossAx val="61746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6.xlsx]ANALYSIS!PivotTable2</c:name>
    <c:fmtId val="8"/>
  </c:pivotSource>
  <c:chart>
    <c:autoTitleDeleted val="1"/>
    <c:pivotFmts>
      <c:pivotFmt>
        <c:idx val="0"/>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ANALYSIS!$D$2:$D$6</c:f>
              <c:strCache>
                <c:ptCount val="5"/>
                <c:pt idx="0">
                  <c:v>California</c:v>
                </c:pt>
                <c:pt idx="1">
                  <c:v>Texas</c:v>
                </c:pt>
                <c:pt idx="2">
                  <c:v>Florida</c:v>
                </c:pt>
                <c:pt idx="3">
                  <c:v>New York</c:v>
                </c:pt>
                <c:pt idx="4">
                  <c:v>Illinois</c:v>
                </c:pt>
              </c:strCache>
            </c:strRef>
          </c:cat>
          <c:val>
            <c:numRef>
              <c:f>ANALYSIS!$E$2:$E$6</c:f>
              <c:numCache>
                <c:formatCode>_(* #,##0_);_(* \(#,##0\);_(* "-"??_);_(@_)</c:formatCode>
                <c:ptCount val="5"/>
                <c:pt idx="0">
                  <c:v>3826000</c:v>
                </c:pt>
                <c:pt idx="1">
                  <c:v>1781000</c:v>
                </c:pt>
                <c:pt idx="2">
                  <c:v>1597000</c:v>
                </c:pt>
                <c:pt idx="3">
                  <c:v>939000</c:v>
                </c:pt>
                <c:pt idx="4">
                  <c:v>850000</c:v>
                </c:pt>
              </c:numCache>
            </c:numRef>
          </c:val>
          <c:extLst>
            <c:ext xmlns:c16="http://schemas.microsoft.com/office/drawing/2014/chart" uri="{C3380CC4-5D6E-409C-BE32-E72D297353CC}">
              <c16:uniqueId val="{00000000-1652-4838-834E-A7B5A63985D1}"/>
            </c:ext>
          </c:extLst>
        </c:ser>
        <c:dLbls>
          <c:dLblPos val="outEnd"/>
          <c:showLegendKey val="0"/>
          <c:showVal val="1"/>
          <c:showCatName val="0"/>
          <c:showSerName val="0"/>
          <c:showPercent val="0"/>
          <c:showBubbleSize val="0"/>
        </c:dLbls>
        <c:gapWidth val="99"/>
        <c:overlap val="-27"/>
        <c:axId val="98987023"/>
        <c:axId val="98971183"/>
      </c:barChart>
      <c:catAx>
        <c:axId val="9898702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2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8971183"/>
        <c:crosses val="autoZero"/>
        <c:auto val="1"/>
        <c:lblAlgn val="ctr"/>
        <c:lblOffset val="100"/>
        <c:noMultiLvlLbl val="0"/>
      </c:catAx>
      <c:valAx>
        <c:axId val="98971183"/>
        <c:scaling>
          <c:orientation val="minMax"/>
        </c:scaling>
        <c:delete val="1"/>
        <c:axPos val="l"/>
        <c:numFmt formatCode="_(* #,##0_);_(* \(#,##0\);_(* &quot;-&quot;??_);_(@_)" sourceLinked="1"/>
        <c:majorTickMark val="none"/>
        <c:minorTickMark val="none"/>
        <c:tickLblPos val="nextTo"/>
        <c:crossAx val="9898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6.xlsx]ANALYSIS!PivotTable3</c:name>
    <c:fmtId val="24"/>
  </c:pivotSource>
  <c:chart>
    <c:autoTitleDeleted val="1"/>
    <c:pivotFmts>
      <c:pivotFmt>
        <c:idx val="0"/>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numFmt formatCode="0.0,,\ &quot;M&quot;" sourceLinked="0"/>
            <c:spPr>
              <a:noFill/>
              <a:ln>
                <a:noFill/>
              </a:ln>
              <a:effectLst/>
            </c:spPr>
            <c:txPr>
              <a:bodyPr rot="5400000" spcFirstLastPara="1" vertOverflow="ellipsis" wrap="square" anchor="ctr" anchorCtr="1"/>
              <a:lstStyle/>
              <a:p>
                <a:pPr>
                  <a:defRPr lang="en-US"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ANALYSIS!$G$2:$G$6</c:f>
              <c:strCache>
                <c:ptCount val="5"/>
                <c:pt idx="0">
                  <c:v>California</c:v>
                </c:pt>
                <c:pt idx="1">
                  <c:v>Texas</c:v>
                </c:pt>
                <c:pt idx="2">
                  <c:v>New York</c:v>
                </c:pt>
                <c:pt idx="3">
                  <c:v>Florida</c:v>
                </c:pt>
                <c:pt idx="4">
                  <c:v>Pennsylvania</c:v>
                </c:pt>
              </c:strCache>
            </c:strRef>
          </c:cat>
          <c:val>
            <c:numRef>
              <c:f>ANALYSIS!$H$2:$H$6</c:f>
              <c:numCache>
                <c:formatCode>_(* #,##0_);_(* \(#,##0\);_(* "-"??_);_(@_)</c:formatCode>
                <c:ptCount val="5"/>
                <c:pt idx="0">
                  <c:v>19552000</c:v>
                </c:pt>
                <c:pt idx="1">
                  <c:v>13709000</c:v>
                </c:pt>
                <c:pt idx="2">
                  <c:v>10895000</c:v>
                </c:pt>
                <c:pt idx="3">
                  <c:v>8847000</c:v>
                </c:pt>
                <c:pt idx="4">
                  <c:v>7502000</c:v>
                </c:pt>
              </c:numCache>
            </c:numRef>
          </c:val>
          <c:extLst>
            <c:ext xmlns:c16="http://schemas.microsoft.com/office/drawing/2014/chart" uri="{C3380CC4-5D6E-409C-BE32-E72D297353CC}">
              <c16:uniqueId val="{00000000-082F-46EC-B753-3903E2F32F66}"/>
            </c:ext>
          </c:extLst>
        </c:ser>
        <c:dLbls>
          <c:dLblPos val="outEnd"/>
          <c:showLegendKey val="0"/>
          <c:showVal val="1"/>
          <c:showCatName val="0"/>
          <c:showSerName val="0"/>
          <c:showPercent val="0"/>
          <c:showBubbleSize val="0"/>
        </c:dLbls>
        <c:gapWidth val="99"/>
        <c:overlap val="-27"/>
        <c:axId val="617478767"/>
        <c:axId val="617470607"/>
      </c:barChart>
      <c:catAx>
        <c:axId val="61747876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2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7470607"/>
        <c:crosses val="autoZero"/>
        <c:auto val="1"/>
        <c:lblAlgn val="ctr"/>
        <c:lblOffset val="100"/>
        <c:noMultiLvlLbl val="0"/>
      </c:catAx>
      <c:valAx>
        <c:axId val="617470607"/>
        <c:scaling>
          <c:orientation val="minMax"/>
        </c:scaling>
        <c:delete val="1"/>
        <c:axPos val="l"/>
        <c:numFmt formatCode="_(* #,##0_);_(* \(#,##0\);_(* &quot;-&quot;??_);_(@_)" sourceLinked="1"/>
        <c:majorTickMark val="none"/>
        <c:minorTickMark val="none"/>
        <c:tickLblPos val="nextTo"/>
        <c:crossAx val="6174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6.xlsx]ANALYSIS!PivotTable5</c:name>
    <c:fmtId val="17"/>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38100">
            <a:solidFill>
              <a:schemeClr val="tx2">
                <a:lumMod val="25000"/>
                <a:lumOff val="75000"/>
              </a:schemeClr>
            </a:solid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ANALYSIS!$K$2</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ANALYSIS!$J$3:$J$7</c:f>
              <c:strCache>
                <c:ptCount val="5"/>
                <c:pt idx="0">
                  <c:v>Georgia</c:v>
                </c:pt>
                <c:pt idx="1">
                  <c:v>North Carolina</c:v>
                </c:pt>
                <c:pt idx="2">
                  <c:v>Texas</c:v>
                </c:pt>
                <c:pt idx="3">
                  <c:v>California</c:v>
                </c:pt>
                <c:pt idx="4">
                  <c:v>Florida</c:v>
                </c:pt>
              </c:strCache>
            </c:strRef>
          </c:cat>
          <c:val>
            <c:numRef>
              <c:f>ANALYSIS!$K$3:$K$7</c:f>
              <c:numCache>
                <c:formatCode>_(* #,##0_);_(* \(#,##0\);_(* "-"??_);_(@_)</c:formatCode>
                <c:ptCount val="5"/>
                <c:pt idx="0">
                  <c:v>478016</c:v>
                </c:pt>
                <c:pt idx="1">
                  <c:v>545354</c:v>
                </c:pt>
                <c:pt idx="2">
                  <c:v>1092650</c:v>
                </c:pt>
                <c:pt idx="3">
                  <c:v>1415428</c:v>
                </c:pt>
                <c:pt idx="4">
                  <c:v>1531714</c:v>
                </c:pt>
              </c:numCache>
            </c:numRef>
          </c:val>
          <c:extLst>
            <c:ext xmlns:c16="http://schemas.microsoft.com/office/drawing/2014/chart" uri="{C3380CC4-5D6E-409C-BE32-E72D297353CC}">
              <c16:uniqueId val="{00000000-93C7-4A55-BD5F-5D18DB402AB2}"/>
            </c:ext>
          </c:extLst>
        </c:ser>
        <c:dLbls>
          <c:dLblPos val="outEnd"/>
          <c:showLegendKey val="0"/>
          <c:showVal val="1"/>
          <c:showCatName val="0"/>
          <c:showSerName val="0"/>
          <c:showPercent val="0"/>
          <c:showBubbleSize val="0"/>
        </c:dLbls>
        <c:gapWidth val="99"/>
        <c:axId val="617471567"/>
        <c:axId val="1859249279"/>
      </c:barChart>
      <c:catAx>
        <c:axId val="617471567"/>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2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59249279"/>
        <c:crosses val="autoZero"/>
        <c:auto val="1"/>
        <c:lblAlgn val="ctr"/>
        <c:lblOffset val="100"/>
        <c:noMultiLvlLbl val="0"/>
      </c:catAx>
      <c:valAx>
        <c:axId val="1859249279"/>
        <c:scaling>
          <c:orientation val="minMax"/>
        </c:scaling>
        <c:delete val="1"/>
        <c:axPos val="b"/>
        <c:numFmt formatCode="_(* #,##0_);_(* \(#,##0\);_(* &quot;-&quot;??_);_(@_)" sourceLinked="1"/>
        <c:majorTickMark val="out"/>
        <c:minorTickMark val="none"/>
        <c:tickLblPos val="nextTo"/>
        <c:crossAx val="6174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6.xlsx]ANALYSIS!PivotTable4</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CCDCE8"/>
          </a:solidFill>
          <a:ln w="19050">
            <a:solidFill>
              <a:schemeClr val="lt1"/>
            </a:solidFill>
          </a:ln>
          <a:effectLst/>
        </c:spPr>
        <c:dLbl>
          <c:idx val="0"/>
          <c:layout>
            <c:manualLayout>
              <c:x val="-0.1249999999999999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385F7C"/>
          </a:solidFill>
          <a:ln w="19050">
            <a:solidFill>
              <a:schemeClr val="lt1"/>
            </a:solidFill>
          </a:ln>
          <a:effectLst/>
        </c:spPr>
        <c:dLbl>
          <c:idx val="0"/>
          <c:layout>
            <c:manualLayout>
              <c:x val="0.15833333333333344"/>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ANALYSIS!$N$1</c:f>
              <c:strCache>
                <c:ptCount val="1"/>
                <c:pt idx="0">
                  <c:v>Total</c:v>
                </c:pt>
              </c:strCache>
            </c:strRef>
          </c:tx>
          <c:dPt>
            <c:idx val="0"/>
            <c:bubble3D val="0"/>
            <c:spPr>
              <a:solidFill>
                <a:srgbClr val="CCDCE8"/>
              </a:solidFill>
              <a:ln w="19050">
                <a:solidFill>
                  <a:schemeClr val="lt1"/>
                </a:solidFill>
              </a:ln>
              <a:effectLst/>
            </c:spPr>
            <c:extLst>
              <c:ext xmlns:c16="http://schemas.microsoft.com/office/drawing/2014/chart" uri="{C3380CC4-5D6E-409C-BE32-E72D297353CC}">
                <c16:uniqueId val="{00000001-3D66-42F2-8544-56A65B61EC9F}"/>
              </c:ext>
            </c:extLst>
          </c:dPt>
          <c:dPt>
            <c:idx val="1"/>
            <c:bubble3D val="0"/>
            <c:spPr>
              <a:solidFill>
                <a:srgbClr val="385F7C"/>
              </a:solidFill>
              <a:ln w="19050">
                <a:solidFill>
                  <a:schemeClr val="lt1"/>
                </a:solidFill>
              </a:ln>
              <a:effectLst/>
            </c:spPr>
            <c:extLst>
              <c:ext xmlns:c16="http://schemas.microsoft.com/office/drawing/2014/chart" uri="{C3380CC4-5D6E-409C-BE32-E72D297353CC}">
                <c16:uniqueId val="{00000003-3D66-42F2-8544-56A65B61EC9F}"/>
              </c:ext>
            </c:extLst>
          </c:dPt>
          <c:dLbls>
            <c:dLbl>
              <c:idx val="0"/>
              <c:layout>
                <c:manualLayout>
                  <c:x val="-0.12499999999999997"/>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66-42F2-8544-56A65B61EC9F}"/>
                </c:ext>
              </c:extLst>
            </c:dLbl>
            <c:dLbl>
              <c:idx val="1"/>
              <c:layout>
                <c:manualLayout>
                  <c:x val="0.15833333333333344"/>
                  <c:y val="-9.25925925925926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66-42F2-8544-56A65B61EC9F}"/>
                </c:ext>
              </c:extLst>
            </c:dLbl>
            <c:spPr>
              <a:noFill/>
              <a:ln>
                <a:noFill/>
              </a:ln>
              <a:effectLst/>
            </c:spPr>
            <c:txPr>
              <a:bodyPr rot="0" spcFirstLastPara="1" vertOverflow="ellipsis" vert="horz" wrap="square" lIns="38100" tIns="19050" rIns="38100" bIns="19050" anchor="ctr" anchorCtr="1">
                <a:spAutoFit/>
              </a:bodyPr>
              <a:lstStyle/>
              <a:p>
                <a:pPr>
                  <a:defRPr sz="22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ANALYSIS!$M$2:$M$3</c:f>
              <c:strCache>
                <c:ptCount val="2"/>
                <c:pt idx="0">
                  <c:v>FALSE</c:v>
                </c:pt>
                <c:pt idx="1">
                  <c:v>TRUE</c:v>
                </c:pt>
              </c:strCache>
            </c:strRef>
          </c:cat>
          <c:val>
            <c:numRef>
              <c:f>ANALYSIS!$N$2:$N$3</c:f>
              <c:numCache>
                <c:formatCode>_(* #,##0_);_(* \(#,##0\);_(* "-"??_);_(@_)</c:formatCode>
                <c:ptCount val="2"/>
                <c:pt idx="0">
                  <c:v>6915000</c:v>
                </c:pt>
                <c:pt idx="1">
                  <c:v>12674000</c:v>
                </c:pt>
              </c:numCache>
            </c:numRef>
          </c:val>
          <c:extLst>
            <c:ext xmlns:c16="http://schemas.microsoft.com/office/drawing/2014/chart" uri="{C3380CC4-5D6E-409C-BE32-E72D297353CC}">
              <c16:uniqueId val="{00000004-3D66-42F2-8544-56A65B61EC9F}"/>
            </c:ext>
          </c:extLst>
        </c:ser>
        <c:dLbls>
          <c:showLegendKey val="0"/>
          <c:showVal val="1"/>
          <c:showCatName val="0"/>
          <c:showSerName val="0"/>
          <c:showPercent val="0"/>
          <c:showBubbleSize val="0"/>
          <c:showLeaderLines val="1"/>
        </c:dLbls>
        <c:firstSliceAng val="197"/>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6.xlsx]ANALYSIS!PivotTable6</c:name>
    <c:fmtId val="19"/>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ANALYSIS!$P$2:$P$6</c:f>
              <c:strCache>
                <c:ptCount val="5"/>
                <c:pt idx="0">
                  <c:v>Alaska</c:v>
                </c:pt>
                <c:pt idx="1">
                  <c:v>Wyoming</c:v>
                </c:pt>
                <c:pt idx="2">
                  <c:v>North Carolina</c:v>
                </c:pt>
                <c:pt idx="3">
                  <c:v>West Virginia</c:v>
                </c:pt>
                <c:pt idx="4">
                  <c:v>Louisiana</c:v>
                </c:pt>
              </c:strCache>
            </c:strRef>
          </c:cat>
          <c:val>
            <c:numRef>
              <c:f>ANALYSIS!$Q$2:$Q$6</c:f>
              <c:numCache>
                <c:formatCode>"$"#,##0</c:formatCode>
                <c:ptCount val="5"/>
                <c:pt idx="0">
                  <c:v>750</c:v>
                </c:pt>
                <c:pt idx="1">
                  <c:v>459</c:v>
                </c:pt>
                <c:pt idx="2">
                  <c:v>401</c:v>
                </c:pt>
                <c:pt idx="3">
                  <c:v>388</c:v>
                </c:pt>
                <c:pt idx="4">
                  <c:v>362</c:v>
                </c:pt>
              </c:numCache>
            </c:numRef>
          </c:val>
          <c:extLst>
            <c:ext xmlns:c16="http://schemas.microsoft.com/office/drawing/2014/chart" uri="{C3380CC4-5D6E-409C-BE32-E72D297353CC}">
              <c16:uniqueId val="{00000000-7EB6-4E87-B3C3-01BB700DE188}"/>
            </c:ext>
          </c:extLst>
        </c:ser>
        <c:dLbls>
          <c:dLblPos val="outEnd"/>
          <c:showLegendKey val="0"/>
          <c:showVal val="1"/>
          <c:showCatName val="0"/>
          <c:showSerName val="0"/>
          <c:showPercent val="0"/>
          <c:showBubbleSize val="0"/>
        </c:dLbls>
        <c:gapWidth val="99"/>
        <c:overlap val="-27"/>
        <c:axId val="1856953711"/>
        <c:axId val="1856948911"/>
      </c:barChart>
      <c:catAx>
        <c:axId val="185695371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2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56948911"/>
        <c:crosses val="autoZero"/>
        <c:auto val="1"/>
        <c:lblAlgn val="ctr"/>
        <c:lblOffset val="100"/>
        <c:noMultiLvlLbl val="0"/>
      </c:catAx>
      <c:valAx>
        <c:axId val="1856948911"/>
        <c:scaling>
          <c:orientation val="minMax"/>
        </c:scaling>
        <c:delete val="1"/>
        <c:axPos val="l"/>
        <c:numFmt formatCode="&quot;$&quot;#,##0" sourceLinked="1"/>
        <c:majorTickMark val="none"/>
        <c:minorTickMark val="none"/>
        <c:tickLblPos val="nextTo"/>
        <c:crossAx val="185695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insurance coverage Project 6.xlsx]ANALYSIS!PivotTable7</c:name>
    <c:fmtId val="19"/>
  </c:pivotSource>
  <c:chart>
    <c:autoTitleDeleted val="1"/>
    <c:pivotFmts>
      <c:pivotFmt>
        <c:idx val="0"/>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w="38100">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ANALYSIS!$T$1</c:f>
              <c:strCache>
                <c:ptCount val="1"/>
                <c:pt idx="0">
                  <c:v>Total</c:v>
                </c:pt>
              </c:strCache>
            </c:strRef>
          </c:tx>
          <c:spPr>
            <a:solidFill>
              <a:schemeClr val="tx2">
                <a:lumMod val="25000"/>
                <a:lumOff val="75000"/>
              </a:schemeClr>
            </a:solidFill>
            <a:ln w="38100">
              <a:solidFill>
                <a:schemeClr val="tx2">
                  <a:lumMod val="25000"/>
                  <a:lumOff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ANALYSIS!$S$2:$S$6</c:f>
              <c:strCache>
                <c:ptCount val="5"/>
                <c:pt idx="0">
                  <c:v>Ohio</c:v>
                </c:pt>
                <c:pt idx="1">
                  <c:v>Washington</c:v>
                </c:pt>
                <c:pt idx="2">
                  <c:v>New York</c:v>
                </c:pt>
                <c:pt idx="3">
                  <c:v>Connecticut</c:v>
                </c:pt>
                <c:pt idx="4">
                  <c:v>California</c:v>
                </c:pt>
              </c:strCache>
            </c:strRef>
          </c:cat>
          <c:val>
            <c:numRef>
              <c:f>ANALYSIS!$T$2:$T$6</c:f>
              <c:numCache>
                <c:formatCode>_(* #,##0_);_(* \(#,##0\);_(* "-"??_);_(@_)</c:formatCode>
                <c:ptCount val="5"/>
                <c:pt idx="0">
                  <c:v>661689</c:v>
                </c:pt>
                <c:pt idx="1">
                  <c:v>670960</c:v>
                </c:pt>
                <c:pt idx="2">
                  <c:v>752748</c:v>
                </c:pt>
                <c:pt idx="3">
                  <c:v>761137</c:v>
                </c:pt>
                <c:pt idx="4">
                  <c:v>4087700</c:v>
                </c:pt>
              </c:numCache>
            </c:numRef>
          </c:val>
          <c:extLst>
            <c:ext xmlns:c16="http://schemas.microsoft.com/office/drawing/2014/chart" uri="{C3380CC4-5D6E-409C-BE32-E72D297353CC}">
              <c16:uniqueId val="{00000000-46A0-4284-AA9A-DC3470ADAFBA}"/>
            </c:ext>
          </c:extLst>
        </c:ser>
        <c:dLbls>
          <c:dLblPos val="outEnd"/>
          <c:showLegendKey val="0"/>
          <c:showVal val="1"/>
          <c:showCatName val="0"/>
          <c:showSerName val="0"/>
          <c:showPercent val="0"/>
          <c:showBubbleSize val="0"/>
        </c:dLbls>
        <c:gapWidth val="99"/>
        <c:axId val="1856988751"/>
        <c:axId val="1856984911"/>
      </c:barChart>
      <c:catAx>
        <c:axId val="185698875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2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56984911"/>
        <c:crosses val="autoZero"/>
        <c:auto val="1"/>
        <c:lblAlgn val="ctr"/>
        <c:lblOffset val="100"/>
        <c:noMultiLvlLbl val="0"/>
      </c:catAx>
      <c:valAx>
        <c:axId val="1856984911"/>
        <c:scaling>
          <c:orientation val="minMax"/>
        </c:scaling>
        <c:delete val="1"/>
        <c:axPos val="b"/>
        <c:numFmt formatCode="_(* #,##0_);_(* \(#,##0\);_(* &quot;-&quot;??_);_(@_)" sourceLinked="1"/>
        <c:majorTickMark val="none"/>
        <c:minorTickMark val="none"/>
        <c:tickLblPos val="nextTo"/>
        <c:crossAx val="185698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87630</xdr:rowOff>
    </xdr:from>
    <xdr:to>
      <xdr:col>1</xdr:col>
      <xdr:colOff>2727960</xdr:colOff>
      <xdr:row>28</xdr:row>
      <xdr:rowOff>76200</xdr:rowOff>
    </xdr:to>
    <xdr:graphicFrame macro="">
      <xdr:nvGraphicFramePr>
        <xdr:cNvPr id="3" name="Chart 2">
          <a:extLst>
            <a:ext uri="{FF2B5EF4-FFF2-40B4-BE49-F238E27FC236}">
              <a16:creationId xmlns:a16="http://schemas.microsoft.com/office/drawing/2014/main" id="{9E8E2F47-666B-E366-8C53-D37F4BBE6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xdr:colOff>
      <xdr:row>11</xdr:row>
      <xdr:rowOff>144780</xdr:rowOff>
    </xdr:from>
    <xdr:to>
      <xdr:col>5</xdr:col>
      <xdr:colOff>259080</xdr:colOff>
      <xdr:row>29</xdr:row>
      <xdr:rowOff>22860</xdr:rowOff>
    </xdr:to>
    <xdr:graphicFrame macro="">
      <xdr:nvGraphicFramePr>
        <xdr:cNvPr id="4" name="Chart 3">
          <a:extLst>
            <a:ext uri="{FF2B5EF4-FFF2-40B4-BE49-F238E27FC236}">
              <a16:creationId xmlns:a16="http://schemas.microsoft.com/office/drawing/2014/main" id="{64BF3A44-7605-6EB1-2092-87C1C7162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12</xdr:row>
      <xdr:rowOff>72390</xdr:rowOff>
    </xdr:from>
    <xdr:to>
      <xdr:col>11</xdr:col>
      <xdr:colOff>0</xdr:colOff>
      <xdr:row>27</xdr:row>
      <xdr:rowOff>72390</xdr:rowOff>
    </xdr:to>
    <xdr:graphicFrame macro="">
      <xdr:nvGraphicFramePr>
        <xdr:cNvPr id="6" name="Chart 5">
          <a:extLst>
            <a:ext uri="{FF2B5EF4-FFF2-40B4-BE49-F238E27FC236}">
              <a16:creationId xmlns:a16="http://schemas.microsoft.com/office/drawing/2014/main" id="{F164D748-E74C-1861-5D73-CFEA25890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22860</xdr:colOff>
      <xdr:row>12</xdr:row>
      <xdr:rowOff>41910</xdr:rowOff>
    </xdr:from>
    <xdr:to>
      <xdr:col>16</xdr:col>
      <xdr:colOff>2346960</xdr:colOff>
      <xdr:row>27</xdr:row>
      <xdr:rowOff>41910</xdr:rowOff>
    </xdr:to>
    <xdr:graphicFrame macro="">
      <xdr:nvGraphicFramePr>
        <xdr:cNvPr id="8" name="Chart 7">
          <a:extLst>
            <a:ext uri="{FF2B5EF4-FFF2-40B4-BE49-F238E27FC236}">
              <a16:creationId xmlns:a16="http://schemas.microsoft.com/office/drawing/2014/main" id="{7B1EC77A-8EA0-D832-E675-F6C4B16CE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358140</xdr:colOff>
      <xdr:row>12</xdr:row>
      <xdr:rowOff>140970</xdr:rowOff>
    </xdr:from>
    <xdr:to>
      <xdr:col>22</xdr:col>
      <xdr:colOff>853440</xdr:colOff>
      <xdr:row>29</xdr:row>
      <xdr:rowOff>121920</xdr:rowOff>
    </xdr:to>
    <xdr:graphicFrame macro="">
      <xdr:nvGraphicFramePr>
        <xdr:cNvPr id="9" name="Chart 8">
          <a:extLst>
            <a:ext uri="{FF2B5EF4-FFF2-40B4-BE49-F238E27FC236}">
              <a16:creationId xmlns:a16="http://schemas.microsoft.com/office/drawing/2014/main" id="{33457C88-BA30-7FC8-3DEA-E2D1E0085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99060</xdr:colOff>
      <xdr:row>13</xdr:row>
      <xdr:rowOff>45720</xdr:rowOff>
    </xdr:from>
    <xdr:to>
      <xdr:col>7</xdr:col>
      <xdr:colOff>2979420</xdr:colOff>
      <xdr:row>28</xdr:row>
      <xdr:rowOff>45720</xdr:rowOff>
    </xdr:to>
    <xdr:graphicFrame macro="">
      <xdr:nvGraphicFramePr>
        <xdr:cNvPr id="10" name="Chart 9">
          <a:extLst>
            <a:ext uri="{FF2B5EF4-FFF2-40B4-BE49-F238E27FC236}">
              <a16:creationId xmlns:a16="http://schemas.microsoft.com/office/drawing/2014/main" id="{6ADA8410-5A7A-41C3-A390-78F6C1450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38100</xdr:colOff>
      <xdr:row>13</xdr:row>
      <xdr:rowOff>114300</xdr:rowOff>
    </xdr:from>
    <xdr:to>
      <xdr:col>13</xdr:col>
      <xdr:colOff>2705100</xdr:colOff>
      <xdr:row>28</xdr:row>
      <xdr:rowOff>114300</xdr:rowOff>
    </xdr:to>
    <xdr:graphicFrame macro="">
      <xdr:nvGraphicFramePr>
        <xdr:cNvPr id="11" name="Chart 10">
          <a:extLst>
            <a:ext uri="{FF2B5EF4-FFF2-40B4-BE49-F238E27FC236}">
              <a16:creationId xmlns:a16="http://schemas.microsoft.com/office/drawing/2014/main" id="{04098F67-C821-4C58-AA68-2C4F9178E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2636520</xdr:colOff>
      <xdr:row>9</xdr:row>
      <xdr:rowOff>38100</xdr:rowOff>
    </xdr:from>
    <xdr:to>
      <xdr:col>25</xdr:col>
      <xdr:colOff>784860</xdr:colOff>
      <xdr:row>12</xdr:row>
      <xdr:rowOff>167640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EA0EA556-0C0C-BB48-0D66-106ACAED53B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2842200" y="1684020"/>
              <a:ext cx="6804660" cy="739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1120140</xdr:colOff>
      <xdr:row>8</xdr:row>
      <xdr:rowOff>45720</xdr:rowOff>
    </xdr:from>
    <xdr:to>
      <xdr:col>13</xdr:col>
      <xdr:colOff>2948940</xdr:colOff>
      <xdr:row>22</xdr:row>
      <xdr:rowOff>66675</xdr:rowOff>
    </xdr:to>
    <mc:AlternateContent xmlns:mc="http://schemas.openxmlformats.org/markup-compatibility/2006" xmlns:a14="http://schemas.microsoft.com/office/drawing/2010/main">
      <mc:Choice Requires="a14">
        <xdr:graphicFrame macro="">
          <xdr:nvGraphicFramePr>
            <xdr:cNvPr id="2" name="State 1">
              <a:extLst>
                <a:ext uri="{FF2B5EF4-FFF2-40B4-BE49-F238E27FC236}">
                  <a16:creationId xmlns:a16="http://schemas.microsoft.com/office/drawing/2014/main" id="{B934CE9A-6E09-A4EC-AF8B-24B2BA62FEE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8844260" y="1508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289341</xdr:colOff>
      <xdr:row>9</xdr:row>
      <xdr:rowOff>82789</xdr:rowOff>
    </xdr:from>
    <xdr:to>
      <xdr:col>59</xdr:col>
      <xdr:colOff>199197</xdr:colOff>
      <xdr:row>90</xdr:row>
      <xdr:rowOff>19783</xdr:rowOff>
    </xdr:to>
    <xdr:sp macro="" textlink="">
      <xdr:nvSpPr>
        <xdr:cNvPr id="2" name="Rectangle: Rounded Corners 1">
          <a:extLst>
            <a:ext uri="{FF2B5EF4-FFF2-40B4-BE49-F238E27FC236}">
              <a16:creationId xmlns:a16="http://schemas.microsoft.com/office/drawing/2014/main" id="{929E6093-2299-2E08-5C38-9405DFB9A358}"/>
            </a:ext>
          </a:extLst>
        </xdr:cNvPr>
        <xdr:cNvSpPr/>
      </xdr:nvSpPr>
      <xdr:spPr>
        <a:xfrm>
          <a:off x="3969243" y="1755472"/>
          <a:ext cx="32415661" cy="14991140"/>
        </a:xfrm>
        <a:prstGeom prst="roundRect">
          <a:avLst>
            <a:gd name="adj" fmla="val 3154"/>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90414</xdr:colOff>
      <xdr:row>11</xdr:row>
      <xdr:rowOff>43546</xdr:rowOff>
    </xdr:from>
    <xdr:to>
      <xdr:col>58</xdr:col>
      <xdr:colOff>433658</xdr:colOff>
      <xdr:row>88</xdr:row>
      <xdr:rowOff>117476</xdr:rowOff>
    </xdr:to>
    <xdr:sp macro="" textlink="">
      <xdr:nvSpPr>
        <xdr:cNvPr id="3" name="Rectangle: Rounded Corners 2">
          <a:extLst>
            <a:ext uri="{FF2B5EF4-FFF2-40B4-BE49-F238E27FC236}">
              <a16:creationId xmlns:a16="http://schemas.microsoft.com/office/drawing/2014/main" id="{5BAC7EE7-EA9C-0EF8-2D2A-DFB8072A9EF8}"/>
            </a:ext>
          </a:extLst>
        </xdr:cNvPr>
        <xdr:cNvSpPr/>
      </xdr:nvSpPr>
      <xdr:spPr>
        <a:xfrm>
          <a:off x="4383634" y="2087936"/>
          <a:ext cx="31622414" cy="14384662"/>
        </a:xfrm>
        <a:prstGeom prst="roundRect">
          <a:avLst>
            <a:gd name="adj" fmla="val 2881"/>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324801</xdr:colOff>
      <xdr:row>15</xdr:row>
      <xdr:rowOff>175550</xdr:rowOff>
    </xdr:from>
    <xdr:to>
      <xdr:col>19</xdr:col>
      <xdr:colOff>5935</xdr:colOff>
      <xdr:row>31</xdr:row>
      <xdr:rowOff>31197</xdr:rowOff>
    </xdr:to>
    <xdr:sp macro="" textlink="">
      <xdr:nvSpPr>
        <xdr:cNvPr id="4" name="Rectangle: Rounded Corners 3">
          <a:extLst>
            <a:ext uri="{FF2B5EF4-FFF2-40B4-BE49-F238E27FC236}">
              <a16:creationId xmlns:a16="http://schemas.microsoft.com/office/drawing/2014/main" id="{4A8349F3-780C-A1A4-265F-A9CE2032458A}"/>
            </a:ext>
          </a:extLst>
        </xdr:cNvPr>
        <xdr:cNvSpPr/>
      </xdr:nvSpPr>
      <xdr:spPr>
        <a:xfrm>
          <a:off x="4618021" y="2963355"/>
          <a:ext cx="7040938" cy="2829305"/>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324801</xdr:colOff>
      <xdr:row>31</xdr:row>
      <xdr:rowOff>166560</xdr:rowOff>
    </xdr:from>
    <xdr:to>
      <xdr:col>19</xdr:col>
      <xdr:colOff>2418</xdr:colOff>
      <xdr:row>47</xdr:row>
      <xdr:rowOff>22899</xdr:rowOff>
    </xdr:to>
    <xdr:sp macro="" textlink="">
      <xdr:nvSpPr>
        <xdr:cNvPr id="5" name="Rectangle: Rounded Corners 4">
          <a:extLst>
            <a:ext uri="{FF2B5EF4-FFF2-40B4-BE49-F238E27FC236}">
              <a16:creationId xmlns:a16="http://schemas.microsoft.com/office/drawing/2014/main" id="{04154910-47AA-E09F-099D-E3FFC164D8CC}"/>
            </a:ext>
          </a:extLst>
        </xdr:cNvPr>
        <xdr:cNvSpPr/>
      </xdr:nvSpPr>
      <xdr:spPr>
        <a:xfrm>
          <a:off x="4618021" y="5928023"/>
          <a:ext cx="7037421" cy="2829998"/>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303587</xdr:colOff>
      <xdr:row>47</xdr:row>
      <xdr:rowOff>166557</xdr:rowOff>
    </xdr:from>
    <xdr:to>
      <xdr:col>20</xdr:col>
      <xdr:colOff>589188</xdr:colOff>
      <xdr:row>87</xdr:row>
      <xdr:rowOff>89339</xdr:rowOff>
    </xdr:to>
    <xdr:sp macro="" textlink="">
      <xdr:nvSpPr>
        <xdr:cNvPr id="6" name="Rectangle: Rounded Corners 5">
          <a:extLst>
            <a:ext uri="{FF2B5EF4-FFF2-40B4-BE49-F238E27FC236}">
              <a16:creationId xmlns:a16="http://schemas.microsoft.com/office/drawing/2014/main" id="{81D6F98A-9507-9F44-6011-166DA835CADC}"/>
            </a:ext>
          </a:extLst>
        </xdr:cNvPr>
        <xdr:cNvSpPr/>
      </xdr:nvSpPr>
      <xdr:spPr>
        <a:xfrm>
          <a:off x="4596807" y="8901679"/>
          <a:ext cx="8258722" cy="7356928"/>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160123</xdr:colOff>
      <xdr:row>15</xdr:row>
      <xdr:rowOff>147022</xdr:rowOff>
    </xdr:from>
    <xdr:to>
      <xdr:col>32</xdr:col>
      <xdr:colOff>231689</xdr:colOff>
      <xdr:row>46</xdr:row>
      <xdr:rowOff>182191</xdr:rowOff>
    </xdr:to>
    <xdr:sp macro="" textlink="">
      <xdr:nvSpPr>
        <xdr:cNvPr id="14" name="Rectangle: Rounded Corners 13">
          <a:extLst>
            <a:ext uri="{FF2B5EF4-FFF2-40B4-BE49-F238E27FC236}">
              <a16:creationId xmlns:a16="http://schemas.microsoft.com/office/drawing/2014/main" id="{DBB8F008-2FC9-9C97-CB75-F71425C99600}"/>
            </a:ext>
          </a:extLst>
        </xdr:cNvPr>
        <xdr:cNvSpPr/>
      </xdr:nvSpPr>
      <xdr:spPr>
        <a:xfrm>
          <a:off x="11813147" y="2934827"/>
          <a:ext cx="8044688" cy="5796632"/>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156659</xdr:colOff>
      <xdr:row>47</xdr:row>
      <xdr:rowOff>151905</xdr:rowOff>
    </xdr:from>
    <xdr:to>
      <xdr:col>34</xdr:col>
      <xdr:colOff>55060</xdr:colOff>
      <xdr:row>87</xdr:row>
      <xdr:rowOff>75780</xdr:rowOff>
    </xdr:to>
    <xdr:sp macro="" textlink="">
      <xdr:nvSpPr>
        <xdr:cNvPr id="15" name="Rectangle: Rounded Corners 14">
          <a:extLst>
            <a:ext uri="{FF2B5EF4-FFF2-40B4-BE49-F238E27FC236}">
              <a16:creationId xmlns:a16="http://schemas.microsoft.com/office/drawing/2014/main" id="{539B25BA-C5C3-27FC-A231-7A1446A2384B}"/>
            </a:ext>
          </a:extLst>
        </xdr:cNvPr>
        <xdr:cNvSpPr/>
      </xdr:nvSpPr>
      <xdr:spPr>
        <a:xfrm>
          <a:off x="13036318" y="8887027"/>
          <a:ext cx="7871522" cy="7358021"/>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261219</xdr:colOff>
      <xdr:row>47</xdr:row>
      <xdr:rowOff>168375</xdr:rowOff>
    </xdr:from>
    <xdr:to>
      <xdr:col>46</xdr:col>
      <xdr:colOff>361733</xdr:colOff>
      <xdr:row>87</xdr:row>
      <xdr:rowOff>73962</xdr:rowOff>
    </xdr:to>
    <xdr:sp macro="" textlink="">
      <xdr:nvSpPr>
        <xdr:cNvPr id="16" name="Rectangle: Rounded Corners 15">
          <a:extLst>
            <a:ext uri="{FF2B5EF4-FFF2-40B4-BE49-F238E27FC236}">
              <a16:creationId xmlns:a16="http://schemas.microsoft.com/office/drawing/2014/main" id="{15EAB469-F643-4749-DEF6-D56E7DFFB898}"/>
            </a:ext>
          </a:extLst>
        </xdr:cNvPr>
        <xdr:cNvSpPr/>
      </xdr:nvSpPr>
      <xdr:spPr>
        <a:xfrm>
          <a:off x="21113999" y="8903497"/>
          <a:ext cx="7460319" cy="7339733"/>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516084</xdr:colOff>
      <xdr:row>47</xdr:row>
      <xdr:rowOff>153723</xdr:rowOff>
    </xdr:from>
    <xdr:to>
      <xdr:col>58</xdr:col>
      <xdr:colOff>255171</xdr:colOff>
      <xdr:row>87</xdr:row>
      <xdr:rowOff>59310</xdr:rowOff>
    </xdr:to>
    <xdr:sp macro="" textlink="">
      <xdr:nvSpPr>
        <xdr:cNvPr id="17" name="Rectangle: Rounded Corners 16">
          <a:extLst>
            <a:ext uri="{FF2B5EF4-FFF2-40B4-BE49-F238E27FC236}">
              <a16:creationId xmlns:a16="http://schemas.microsoft.com/office/drawing/2014/main" id="{7F30FBF8-F140-2D4C-B5F0-8F8D4B49E866}"/>
            </a:ext>
          </a:extLst>
        </xdr:cNvPr>
        <xdr:cNvSpPr/>
      </xdr:nvSpPr>
      <xdr:spPr>
        <a:xfrm>
          <a:off x="28728669" y="8888845"/>
          <a:ext cx="7098892" cy="7339733"/>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381362</xdr:colOff>
      <xdr:row>15</xdr:row>
      <xdr:rowOff>116943</xdr:rowOff>
    </xdr:from>
    <xdr:to>
      <xdr:col>46</xdr:col>
      <xdr:colOff>179667</xdr:colOff>
      <xdr:row>46</xdr:row>
      <xdr:rowOff>151700</xdr:rowOff>
    </xdr:to>
    <xdr:sp macro="" textlink="">
      <xdr:nvSpPr>
        <xdr:cNvPr id="18" name="Rectangle: Rounded Corners 17">
          <a:extLst>
            <a:ext uri="{FF2B5EF4-FFF2-40B4-BE49-F238E27FC236}">
              <a16:creationId xmlns:a16="http://schemas.microsoft.com/office/drawing/2014/main" id="{3814BE12-CD0E-7032-2E59-C72C0FCF8910}"/>
            </a:ext>
          </a:extLst>
        </xdr:cNvPr>
        <xdr:cNvSpPr/>
      </xdr:nvSpPr>
      <xdr:spPr>
        <a:xfrm>
          <a:off x="20007508" y="2904748"/>
          <a:ext cx="8384744" cy="5796220"/>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335966</xdr:colOff>
      <xdr:row>15</xdr:row>
      <xdr:rowOff>102877</xdr:rowOff>
    </xdr:from>
    <xdr:to>
      <xdr:col>58</xdr:col>
      <xdr:colOff>255172</xdr:colOff>
      <xdr:row>46</xdr:row>
      <xdr:rowOff>148054</xdr:rowOff>
    </xdr:to>
    <xdr:sp macro="" textlink="">
      <xdr:nvSpPr>
        <xdr:cNvPr id="19" name="Rectangle: Rounded Corners 18">
          <a:extLst>
            <a:ext uri="{FF2B5EF4-FFF2-40B4-BE49-F238E27FC236}">
              <a16:creationId xmlns:a16="http://schemas.microsoft.com/office/drawing/2014/main" id="{009F5F98-87B8-2642-66C6-319C931C4232}"/>
            </a:ext>
          </a:extLst>
        </xdr:cNvPr>
        <xdr:cNvSpPr/>
      </xdr:nvSpPr>
      <xdr:spPr>
        <a:xfrm>
          <a:off x="28548551" y="2890682"/>
          <a:ext cx="7279011" cy="5806640"/>
        </a:xfrm>
        <a:prstGeom prst="roundRect">
          <a:avLst>
            <a:gd name="adj" fmla="val 625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488088</xdr:colOff>
      <xdr:row>16</xdr:row>
      <xdr:rowOff>82086</xdr:rowOff>
    </xdr:from>
    <xdr:to>
      <xdr:col>11</xdr:col>
      <xdr:colOff>292625</xdr:colOff>
      <xdr:row>30</xdr:row>
      <xdr:rowOff>54165</xdr:rowOff>
    </xdr:to>
    <xdr:sp macro="" textlink="">
      <xdr:nvSpPr>
        <xdr:cNvPr id="20" name="Rectangle: Rounded Corners 19">
          <a:extLst>
            <a:ext uri="{FF2B5EF4-FFF2-40B4-BE49-F238E27FC236}">
              <a16:creationId xmlns:a16="http://schemas.microsoft.com/office/drawing/2014/main" id="{3F4F492B-1649-1E99-0756-DD2CA9B83EBF}"/>
            </a:ext>
          </a:extLst>
        </xdr:cNvPr>
        <xdr:cNvSpPr/>
      </xdr:nvSpPr>
      <xdr:spPr>
        <a:xfrm>
          <a:off x="4781308" y="3055745"/>
          <a:ext cx="2257805" cy="257403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355504</xdr:colOff>
      <xdr:row>16</xdr:row>
      <xdr:rowOff>89343</xdr:rowOff>
    </xdr:from>
    <xdr:to>
      <xdr:col>15</xdr:col>
      <xdr:colOff>39810</xdr:colOff>
      <xdr:row>30</xdr:row>
      <xdr:rowOff>61422</xdr:rowOff>
    </xdr:to>
    <xdr:sp macro="" textlink="">
      <xdr:nvSpPr>
        <xdr:cNvPr id="21" name="Rectangle: Rounded Corners 20">
          <a:extLst>
            <a:ext uri="{FF2B5EF4-FFF2-40B4-BE49-F238E27FC236}">
              <a16:creationId xmlns:a16="http://schemas.microsoft.com/office/drawing/2014/main" id="{AF34217A-D875-9A7B-C5E9-613334A3F0DC}"/>
            </a:ext>
          </a:extLst>
        </xdr:cNvPr>
        <xdr:cNvSpPr/>
      </xdr:nvSpPr>
      <xdr:spPr>
        <a:xfrm>
          <a:off x="7101992" y="3063002"/>
          <a:ext cx="2137574" cy="257403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140582</xdr:colOff>
      <xdr:row>16</xdr:row>
      <xdr:rowOff>96600</xdr:rowOff>
    </xdr:from>
    <xdr:to>
      <xdr:col>18</xdr:col>
      <xdr:colOff>380617</xdr:colOff>
      <xdr:row>30</xdr:row>
      <xdr:rowOff>68679</xdr:rowOff>
    </xdr:to>
    <xdr:sp macro="" textlink="">
      <xdr:nvSpPr>
        <xdr:cNvPr id="22" name="Rectangle: Rounded Corners 21">
          <a:extLst>
            <a:ext uri="{FF2B5EF4-FFF2-40B4-BE49-F238E27FC236}">
              <a16:creationId xmlns:a16="http://schemas.microsoft.com/office/drawing/2014/main" id="{31539101-E1E7-0FE3-5C4A-A65732B3E751}"/>
            </a:ext>
          </a:extLst>
        </xdr:cNvPr>
        <xdr:cNvSpPr/>
      </xdr:nvSpPr>
      <xdr:spPr>
        <a:xfrm>
          <a:off x="9340338" y="3070259"/>
          <a:ext cx="2079986" cy="257403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543443</xdr:colOff>
      <xdr:row>32</xdr:row>
      <xdr:rowOff>95816</xdr:rowOff>
    </xdr:from>
    <xdr:to>
      <xdr:col>11</xdr:col>
      <xdr:colOff>199198</xdr:colOff>
      <xdr:row>46</xdr:row>
      <xdr:rowOff>59289</xdr:rowOff>
    </xdr:to>
    <xdr:sp macro="" textlink="">
      <xdr:nvSpPr>
        <xdr:cNvPr id="23" name="Rectangle: Rounded Corners 22">
          <a:extLst>
            <a:ext uri="{FF2B5EF4-FFF2-40B4-BE49-F238E27FC236}">
              <a16:creationId xmlns:a16="http://schemas.microsoft.com/office/drawing/2014/main" id="{0EF0CD4D-30AE-8EC4-E363-98E67135CC83}"/>
            </a:ext>
          </a:extLst>
        </xdr:cNvPr>
        <xdr:cNvSpPr/>
      </xdr:nvSpPr>
      <xdr:spPr>
        <a:xfrm>
          <a:off x="4836663" y="6043133"/>
          <a:ext cx="2109023" cy="2565424"/>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270933</xdr:colOff>
      <xdr:row>32</xdr:row>
      <xdr:rowOff>103073</xdr:rowOff>
    </xdr:from>
    <xdr:to>
      <xdr:col>15</xdr:col>
      <xdr:colOff>87540</xdr:colOff>
      <xdr:row>46</xdr:row>
      <xdr:rowOff>66546</xdr:rowOff>
    </xdr:to>
    <xdr:sp macro="" textlink="">
      <xdr:nvSpPr>
        <xdr:cNvPr id="24" name="Rectangle: Rounded Corners 23">
          <a:extLst>
            <a:ext uri="{FF2B5EF4-FFF2-40B4-BE49-F238E27FC236}">
              <a16:creationId xmlns:a16="http://schemas.microsoft.com/office/drawing/2014/main" id="{ED1432A5-3937-E9C6-2F34-C74BB50BFC3D}"/>
            </a:ext>
          </a:extLst>
        </xdr:cNvPr>
        <xdr:cNvSpPr/>
      </xdr:nvSpPr>
      <xdr:spPr>
        <a:xfrm>
          <a:off x="7017421" y="6050390"/>
          <a:ext cx="2269875" cy="2565424"/>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179659</xdr:colOff>
      <xdr:row>32</xdr:row>
      <xdr:rowOff>110330</xdr:rowOff>
    </xdr:from>
    <xdr:to>
      <xdr:col>18</xdr:col>
      <xdr:colOff>428346</xdr:colOff>
      <xdr:row>46</xdr:row>
      <xdr:rowOff>73803</xdr:rowOff>
    </xdr:to>
    <xdr:sp macro="" textlink="">
      <xdr:nvSpPr>
        <xdr:cNvPr id="25" name="Rectangle: Rounded Corners 24">
          <a:extLst>
            <a:ext uri="{FF2B5EF4-FFF2-40B4-BE49-F238E27FC236}">
              <a16:creationId xmlns:a16="http://schemas.microsoft.com/office/drawing/2014/main" id="{F10778C8-1D4B-C8D9-AD23-D566B1092807}"/>
            </a:ext>
          </a:extLst>
        </xdr:cNvPr>
        <xdr:cNvSpPr/>
      </xdr:nvSpPr>
      <xdr:spPr>
        <a:xfrm>
          <a:off x="9379415" y="6057647"/>
          <a:ext cx="2088638" cy="2565424"/>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79474</xdr:colOff>
      <xdr:row>11</xdr:row>
      <xdr:rowOff>147665</xdr:rowOff>
    </xdr:from>
    <xdr:to>
      <xdr:col>24</xdr:col>
      <xdr:colOff>339776</xdr:colOff>
      <xdr:row>15</xdr:row>
      <xdr:rowOff>105330</xdr:rowOff>
    </xdr:to>
    <xdr:sp macro="" textlink="">
      <xdr:nvSpPr>
        <xdr:cNvPr id="31" name="TextBox 30">
          <a:extLst>
            <a:ext uri="{FF2B5EF4-FFF2-40B4-BE49-F238E27FC236}">
              <a16:creationId xmlns:a16="http://schemas.microsoft.com/office/drawing/2014/main" id="{8F31437A-4AE4-5C9C-B111-BD8CE9E802A2}"/>
            </a:ext>
          </a:extLst>
        </xdr:cNvPr>
        <xdr:cNvSpPr txBox="1"/>
      </xdr:nvSpPr>
      <xdr:spPr>
        <a:xfrm>
          <a:off x="4372694" y="2192055"/>
          <a:ext cx="10686692" cy="70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0">
              <a:solidFill>
                <a:srgbClr val="385F7C"/>
              </a:solidFill>
            </a:rPr>
            <a:t>US HEALTH</a:t>
          </a:r>
          <a:r>
            <a:rPr lang="en-US" sz="4000" b="0" baseline="0">
              <a:solidFill>
                <a:srgbClr val="385F7C"/>
              </a:solidFill>
            </a:rPr>
            <a:t> INSURANCE  COVERAGE ANALYSIS</a:t>
          </a:r>
          <a:endParaRPr lang="en-US" sz="4000" b="0">
            <a:solidFill>
              <a:srgbClr val="385F7C"/>
            </a:solidFill>
          </a:endParaRPr>
        </a:p>
      </xdr:txBody>
    </xdr:sp>
    <xdr:clientData/>
  </xdr:twoCellAnchor>
  <xdr:twoCellAnchor>
    <xdr:from>
      <xdr:col>8</xdr:col>
      <xdr:colOff>323173</xdr:colOff>
      <xdr:row>17</xdr:row>
      <xdr:rowOff>29557</xdr:rowOff>
    </xdr:from>
    <xdr:to>
      <xdr:col>10</xdr:col>
      <xdr:colOff>325981</xdr:colOff>
      <xdr:row>20</xdr:row>
      <xdr:rowOff>105443</xdr:rowOff>
    </xdr:to>
    <xdr:sp macro="" textlink="">
      <xdr:nvSpPr>
        <xdr:cNvPr id="32" name="TextBox 31">
          <a:extLst>
            <a:ext uri="{FF2B5EF4-FFF2-40B4-BE49-F238E27FC236}">
              <a16:creationId xmlns:a16="http://schemas.microsoft.com/office/drawing/2014/main" id="{A2CD8360-A248-AEFA-14AA-84408036B198}"/>
            </a:ext>
          </a:extLst>
        </xdr:cNvPr>
        <xdr:cNvSpPr txBox="1"/>
      </xdr:nvSpPr>
      <xdr:spPr>
        <a:xfrm>
          <a:off x="5229710" y="3189069"/>
          <a:ext cx="1229442" cy="63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rgbClr val="385F7C"/>
              </a:solidFill>
            </a:rPr>
            <a:t>States</a:t>
          </a:r>
        </a:p>
      </xdr:txBody>
    </xdr:sp>
    <xdr:clientData/>
  </xdr:twoCellAnchor>
  <xdr:twoCellAnchor>
    <xdr:from>
      <xdr:col>11</xdr:col>
      <xdr:colOff>397750</xdr:colOff>
      <xdr:row>16</xdr:row>
      <xdr:rowOff>117761</xdr:rowOff>
    </xdr:from>
    <xdr:to>
      <xdr:col>15</xdr:col>
      <xdr:colOff>29959</xdr:colOff>
      <xdr:row>23</xdr:row>
      <xdr:rowOff>19783</xdr:rowOff>
    </xdr:to>
    <xdr:sp macro="" textlink="">
      <xdr:nvSpPr>
        <xdr:cNvPr id="33" name="TextBox 32">
          <a:extLst>
            <a:ext uri="{FF2B5EF4-FFF2-40B4-BE49-F238E27FC236}">
              <a16:creationId xmlns:a16="http://schemas.microsoft.com/office/drawing/2014/main" id="{0254FFAD-4AB4-A45B-2168-64945656E35A}"/>
            </a:ext>
          </a:extLst>
        </xdr:cNvPr>
        <xdr:cNvSpPr txBox="1"/>
      </xdr:nvSpPr>
      <xdr:spPr>
        <a:xfrm>
          <a:off x="7144238" y="3091420"/>
          <a:ext cx="2085477" cy="120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400">
              <a:solidFill>
                <a:srgbClr val="385F7C"/>
              </a:solidFill>
              <a:latin typeface="+mn-lt"/>
              <a:ea typeface="+mn-ea"/>
              <a:cs typeface="+mn-cs"/>
            </a:rPr>
            <a:t>Avg Uninsured Rate Change </a:t>
          </a:r>
        </a:p>
        <a:p>
          <a:pPr marL="0" indent="0" algn="ctr"/>
          <a:r>
            <a:rPr lang="en-US" sz="2400">
              <a:solidFill>
                <a:srgbClr val="385F7C"/>
              </a:solidFill>
              <a:latin typeface="+mn-lt"/>
              <a:ea typeface="+mn-ea"/>
              <a:cs typeface="+mn-cs"/>
            </a:rPr>
            <a:t> </a:t>
          </a:r>
        </a:p>
      </xdr:txBody>
    </xdr:sp>
    <xdr:clientData/>
  </xdr:twoCellAnchor>
  <xdr:twoCellAnchor>
    <xdr:from>
      <xdr:col>15</xdr:col>
      <xdr:colOff>216501</xdr:colOff>
      <xdr:row>33</xdr:row>
      <xdr:rowOff>44427</xdr:rowOff>
    </xdr:from>
    <xdr:to>
      <xdr:col>18</xdr:col>
      <xdr:colOff>355505</xdr:colOff>
      <xdr:row>38</xdr:row>
      <xdr:rowOff>147021</xdr:rowOff>
    </xdr:to>
    <xdr:sp macro="" textlink="">
      <xdr:nvSpPr>
        <xdr:cNvPr id="34" name="TextBox 33">
          <a:extLst>
            <a:ext uri="{FF2B5EF4-FFF2-40B4-BE49-F238E27FC236}">
              <a16:creationId xmlns:a16="http://schemas.microsoft.com/office/drawing/2014/main" id="{6E0A440A-C009-8C9B-D14B-4F207588B7B1}"/>
            </a:ext>
          </a:extLst>
        </xdr:cNvPr>
        <xdr:cNvSpPr txBox="1"/>
      </xdr:nvSpPr>
      <xdr:spPr>
        <a:xfrm>
          <a:off x="9416257" y="6177598"/>
          <a:ext cx="1978955" cy="1031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200">
              <a:solidFill>
                <a:srgbClr val="385F7C"/>
              </a:solidFill>
              <a:latin typeface="+mn-lt"/>
              <a:ea typeface="+mn-ea"/>
              <a:cs typeface="+mn-cs"/>
            </a:rPr>
            <a:t>Avg Monthly Tax Credit(2016)</a:t>
          </a:r>
        </a:p>
        <a:p>
          <a:pPr marL="0" indent="0" algn="ctr"/>
          <a:r>
            <a:rPr lang="en-US" sz="2200">
              <a:solidFill>
                <a:srgbClr val="385F7C"/>
              </a:solidFill>
              <a:latin typeface="+mn-lt"/>
              <a:ea typeface="+mn-ea"/>
              <a:cs typeface="+mn-cs"/>
            </a:rPr>
            <a:t> </a:t>
          </a:r>
        </a:p>
      </xdr:txBody>
    </xdr:sp>
    <xdr:clientData/>
  </xdr:twoCellAnchor>
  <xdr:twoCellAnchor>
    <xdr:from>
      <xdr:col>11</xdr:col>
      <xdr:colOff>184943</xdr:colOff>
      <xdr:row>32</xdr:row>
      <xdr:rowOff>182607</xdr:rowOff>
    </xdr:from>
    <xdr:to>
      <xdr:col>15</xdr:col>
      <xdr:colOff>218736</xdr:colOff>
      <xdr:row>40</xdr:row>
      <xdr:rowOff>17016</xdr:rowOff>
    </xdr:to>
    <xdr:sp macro="" textlink="">
      <xdr:nvSpPr>
        <xdr:cNvPr id="35" name="TextBox 34">
          <a:extLst>
            <a:ext uri="{FF2B5EF4-FFF2-40B4-BE49-F238E27FC236}">
              <a16:creationId xmlns:a16="http://schemas.microsoft.com/office/drawing/2014/main" id="{7BDEC8B5-9890-2D59-32DE-EFF3F9C6271B}"/>
            </a:ext>
          </a:extLst>
        </xdr:cNvPr>
        <xdr:cNvSpPr txBox="1"/>
      </xdr:nvSpPr>
      <xdr:spPr>
        <a:xfrm>
          <a:off x="6931431" y="6129924"/>
          <a:ext cx="2487061" cy="1321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200">
              <a:solidFill>
                <a:srgbClr val="385F7C"/>
              </a:solidFill>
              <a:latin typeface="+mn-lt"/>
              <a:ea typeface="+mn-ea"/>
              <a:cs typeface="+mn-cs"/>
            </a:rPr>
            <a:t>Medicaid Enrollment Change (2013 - 2016)</a:t>
          </a:r>
        </a:p>
        <a:p>
          <a:pPr marL="0" indent="0" algn="ctr"/>
          <a:r>
            <a:rPr lang="en-US" sz="2200">
              <a:solidFill>
                <a:srgbClr val="385F7C"/>
              </a:solidFill>
              <a:latin typeface="+mn-lt"/>
              <a:ea typeface="+mn-ea"/>
              <a:cs typeface="+mn-cs"/>
            </a:rPr>
            <a:t> </a:t>
          </a:r>
        </a:p>
      </xdr:txBody>
    </xdr:sp>
    <xdr:clientData/>
  </xdr:twoCellAnchor>
  <xdr:twoCellAnchor>
    <xdr:from>
      <xdr:col>7</xdr:col>
      <xdr:colOff>429687</xdr:colOff>
      <xdr:row>33</xdr:row>
      <xdr:rowOff>52478</xdr:rowOff>
    </xdr:from>
    <xdr:to>
      <xdr:col>11</xdr:col>
      <xdr:colOff>249570</xdr:colOff>
      <xdr:row>41</xdr:row>
      <xdr:rowOff>166560</xdr:rowOff>
    </xdr:to>
    <xdr:sp macro="" textlink="">
      <xdr:nvSpPr>
        <xdr:cNvPr id="36" name="TextBox 35">
          <a:extLst>
            <a:ext uri="{FF2B5EF4-FFF2-40B4-BE49-F238E27FC236}">
              <a16:creationId xmlns:a16="http://schemas.microsoft.com/office/drawing/2014/main" id="{39F89026-F6A6-533C-B888-5D8610CD9DCA}"/>
            </a:ext>
          </a:extLst>
        </xdr:cNvPr>
        <xdr:cNvSpPr txBox="1"/>
      </xdr:nvSpPr>
      <xdr:spPr>
        <a:xfrm>
          <a:off x="4722907" y="6185649"/>
          <a:ext cx="2273151" cy="1600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200">
              <a:solidFill>
                <a:srgbClr val="385F7C"/>
              </a:solidFill>
              <a:latin typeface="+mn-lt"/>
              <a:ea typeface="+mn-ea"/>
              <a:cs typeface="+mn-cs"/>
            </a:rPr>
            <a:t>Marketplace Health Insurance Coverage (2016)</a:t>
          </a:r>
        </a:p>
      </xdr:txBody>
    </xdr:sp>
    <xdr:clientData/>
  </xdr:twoCellAnchor>
  <xdr:twoCellAnchor>
    <xdr:from>
      <xdr:col>15</xdr:col>
      <xdr:colOff>9069</xdr:colOff>
      <xdr:row>16</xdr:row>
      <xdr:rowOff>174940</xdr:rowOff>
    </xdr:from>
    <xdr:to>
      <xdr:col>18</xdr:col>
      <xdr:colOff>411753</xdr:colOff>
      <xdr:row>22</xdr:row>
      <xdr:rowOff>247</xdr:rowOff>
    </xdr:to>
    <xdr:sp macro="" textlink="">
      <xdr:nvSpPr>
        <xdr:cNvPr id="37" name="TextBox 36">
          <a:extLst>
            <a:ext uri="{FF2B5EF4-FFF2-40B4-BE49-F238E27FC236}">
              <a16:creationId xmlns:a16="http://schemas.microsoft.com/office/drawing/2014/main" id="{AD353C90-DA87-D4D3-6B01-CAE0B3B10D74}"/>
            </a:ext>
          </a:extLst>
        </xdr:cNvPr>
        <xdr:cNvSpPr txBox="1"/>
      </xdr:nvSpPr>
      <xdr:spPr>
        <a:xfrm>
          <a:off x="9208825" y="3148599"/>
          <a:ext cx="2242635" cy="940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200">
              <a:solidFill>
                <a:srgbClr val="385F7C"/>
              </a:solidFill>
              <a:latin typeface="+mn-lt"/>
              <a:ea typeface="+mn-ea"/>
              <a:cs typeface="+mn-cs"/>
            </a:rPr>
            <a:t>Health Insurance Coverage Change</a:t>
          </a:r>
        </a:p>
        <a:p>
          <a:pPr marL="0" indent="0" algn="ctr"/>
          <a:r>
            <a:rPr lang="en-US" sz="2200">
              <a:solidFill>
                <a:srgbClr val="385F7C"/>
              </a:solidFill>
              <a:latin typeface="+mn-lt"/>
              <a:ea typeface="+mn-ea"/>
              <a:cs typeface="+mn-cs"/>
            </a:rPr>
            <a:t> </a:t>
          </a:r>
        </a:p>
        <a:p>
          <a:pPr marL="0" indent="0" algn="ctr"/>
          <a:endParaRPr lang="en-US" sz="2200">
            <a:solidFill>
              <a:srgbClr val="385F7C"/>
            </a:solidFill>
            <a:latin typeface="+mn-lt"/>
            <a:ea typeface="+mn-ea"/>
            <a:cs typeface="+mn-cs"/>
          </a:endParaRPr>
        </a:p>
      </xdr:txBody>
    </xdr:sp>
    <xdr:clientData/>
  </xdr:twoCellAnchor>
  <xdr:twoCellAnchor>
    <xdr:from>
      <xdr:col>19</xdr:col>
      <xdr:colOff>256316</xdr:colOff>
      <xdr:row>15</xdr:row>
      <xdr:rowOff>159649</xdr:rowOff>
    </xdr:from>
    <xdr:to>
      <xdr:col>24</xdr:col>
      <xdr:colOff>265378</xdr:colOff>
      <xdr:row>19</xdr:row>
      <xdr:rowOff>48783</xdr:rowOff>
    </xdr:to>
    <xdr:sp macro="" textlink="">
      <xdr:nvSpPr>
        <xdr:cNvPr id="38" name="TextBox 37">
          <a:extLst>
            <a:ext uri="{FF2B5EF4-FFF2-40B4-BE49-F238E27FC236}">
              <a16:creationId xmlns:a16="http://schemas.microsoft.com/office/drawing/2014/main" id="{86DDC567-7C33-4A51-D24C-858AB22E3C39}"/>
            </a:ext>
          </a:extLst>
        </xdr:cNvPr>
        <xdr:cNvSpPr txBox="1"/>
      </xdr:nvSpPr>
      <xdr:spPr>
        <a:xfrm>
          <a:off x="11909340" y="2947454"/>
          <a:ext cx="3075648" cy="63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Uninsured</a:t>
          </a:r>
          <a:r>
            <a:rPr lang="en-US" sz="2200" baseline="0">
              <a:solidFill>
                <a:srgbClr val="385F7C"/>
              </a:solidFill>
              <a:latin typeface="+mn-lt"/>
              <a:ea typeface="+mn-ea"/>
              <a:cs typeface="+mn-cs"/>
            </a:rPr>
            <a:t> Rate Decline</a:t>
          </a:r>
          <a:endParaRPr lang="en-US" sz="2200">
            <a:solidFill>
              <a:srgbClr val="385F7C"/>
            </a:solidFill>
            <a:latin typeface="+mn-lt"/>
            <a:ea typeface="+mn-ea"/>
            <a:cs typeface="+mn-cs"/>
          </a:endParaRPr>
        </a:p>
        <a:p>
          <a:pPr marL="0" indent="0" algn="l"/>
          <a:r>
            <a:rPr lang="en-US" sz="2200">
              <a:solidFill>
                <a:srgbClr val="385F7C"/>
              </a:solidFill>
              <a:latin typeface="+mn-lt"/>
              <a:ea typeface="+mn-ea"/>
              <a:cs typeface="+mn-cs"/>
            </a:rPr>
            <a:t> </a:t>
          </a:r>
        </a:p>
      </xdr:txBody>
    </xdr:sp>
    <xdr:clientData/>
  </xdr:twoCellAnchor>
  <xdr:twoCellAnchor>
    <xdr:from>
      <xdr:col>32</xdr:col>
      <xdr:colOff>515016</xdr:colOff>
      <xdr:row>15</xdr:row>
      <xdr:rowOff>130680</xdr:rowOff>
    </xdr:from>
    <xdr:to>
      <xdr:col>40</xdr:col>
      <xdr:colOff>134599</xdr:colOff>
      <xdr:row>19</xdr:row>
      <xdr:rowOff>20586</xdr:rowOff>
    </xdr:to>
    <xdr:sp macro="" textlink="">
      <xdr:nvSpPr>
        <xdr:cNvPr id="39" name="TextBox 38">
          <a:extLst>
            <a:ext uri="{FF2B5EF4-FFF2-40B4-BE49-F238E27FC236}">
              <a16:creationId xmlns:a16="http://schemas.microsoft.com/office/drawing/2014/main" id="{6A1B190D-77D3-05C4-F327-B214584CD89D}"/>
            </a:ext>
          </a:extLst>
        </xdr:cNvPr>
        <xdr:cNvSpPr txBox="1"/>
      </xdr:nvSpPr>
      <xdr:spPr>
        <a:xfrm>
          <a:off x="20141162" y="2918485"/>
          <a:ext cx="4526120" cy="63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Health</a:t>
          </a:r>
          <a:r>
            <a:rPr lang="en-US" sz="2200" baseline="0">
              <a:solidFill>
                <a:srgbClr val="385F7C"/>
              </a:solidFill>
              <a:latin typeface="+mn-lt"/>
              <a:ea typeface="+mn-ea"/>
              <a:cs typeface="+mn-cs"/>
            </a:rPr>
            <a:t> Insurance Coverage Change</a:t>
          </a:r>
          <a:endParaRPr lang="en-US" sz="2200">
            <a:solidFill>
              <a:srgbClr val="385F7C"/>
            </a:solidFill>
            <a:latin typeface="+mn-lt"/>
            <a:ea typeface="+mn-ea"/>
            <a:cs typeface="+mn-cs"/>
          </a:endParaRPr>
        </a:p>
      </xdr:txBody>
    </xdr:sp>
    <xdr:clientData/>
  </xdr:twoCellAnchor>
  <xdr:twoCellAnchor>
    <xdr:from>
      <xdr:col>47</xdr:col>
      <xdr:colOff>86812</xdr:colOff>
      <xdr:row>48</xdr:row>
      <xdr:rowOff>22510</xdr:rowOff>
    </xdr:from>
    <xdr:to>
      <xdr:col>51</xdr:col>
      <xdr:colOff>475942</xdr:colOff>
      <xdr:row>51</xdr:row>
      <xdr:rowOff>82843</xdr:rowOff>
    </xdr:to>
    <xdr:sp macro="" textlink="">
      <xdr:nvSpPr>
        <xdr:cNvPr id="41" name="TextBox 40">
          <a:extLst>
            <a:ext uri="{FF2B5EF4-FFF2-40B4-BE49-F238E27FC236}">
              <a16:creationId xmlns:a16="http://schemas.microsoft.com/office/drawing/2014/main" id="{2701AD90-2C7C-32E6-C6E2-810B71E093E3}"/>
            </a:ext>
          </a:extLst>
        </xdr:cNvPr>
        <xdr:cNvSpPr txBox="1"/>
      </xdr:nvSpPr>
      <xdr:spPr>
        <a:xfrm>
          <a:off x="28912714" y="8943486"/>
          <a:ext cx="2842399" cy="61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Medicaid</a:t>
          </a:r>
          <a:r>
            <a:rPr lang="en-US" sz="2200" baseline="0">
              <a:solidFill>
                <a:srgbClr val="385F7C"/>
              </a:solidFill>
              <a:latin typeface="+mn-lt"/>
              <a:ea typeface="+mn-ea"/>
              <a:cs typeface="+mn-cs"/>
            </a:rPr>
            <a:t> Enrollment</a:t>
          </a:r>
          <a:endParaRPr lang="en-US" sz="2200">
            <a:solidFill>
              <a:srgbClr val="385F7C"/>
            </a:solidFill>
            <a:latin typeface="+mn-lt"/>
            <a:ea typeface="+mn-ea"/>
            <a:cs typeface="+mn-cs"/>
          </a:endParaRPr>
        </a:p>
        <a:p>
          <a:pPr marL="0" indent="0" algn="l"/>
          <a:r>
            <a:rPr lang="en-US" sz="2200">
              <a:solidFill>
                <a:srgbClr val="385F7C"/>
              </a:solidFill>
              <a:latin typeface="+mn-lt"/>
              <a:ea typeface="+mn-ea"/>
              <a:cs typeface="+mn-cs"/>
            </a:rPr>
            <a:t> </a:t>
          </a:r>
        </a:p>
      </xdr:txBody>
    </xdr:sp>
    <xdr:clientData/>
  </xdr:twoCellAnchor>
  <xdr:twoCellAnchor>
    <xdr:from>
      <xdr:col>34</xdr:col>
      <xdr:colOff>469991</xdr:colOff>
      <xdr:row>48</xdr:row>
      <xdr:rowOff>71664</xdr:rowOff>
    </xdr:from>
    <xdr:to>
      <xdr:col>39</xdr:col>
      <xdr:colOff>253427</xdr:colOff>
      <xdr:row>51</xdr:row>
      <xdr:rowOff>142006</xdr:rowOff>
    </xdr:to>
    <xdr:sp macro="" textlink="">
      <xdr:nvSpPr>
        <xdr:cNvPr id="42" name="TextBox 41">
          <a:extLst>
            <a:ext uri="{FF2B5EF4-FFF2-40B4-BE49-F238E27FC236}">
              <a16:creationId xmlns:a16="http://schemas.microsoft.com/office/drawing/2014/main" id="{43A0E228-93C9-F813-E00F-E4789DBE9F96}"/>
            </a:ext>
          </a:extLst>
        </xdr:cNvPr>
        <xdr:cNvSpPr txBox="1"/>
      </xdr:nvSpPr>
      <xdr:spPr>
        <a:xfrm>
          <a:off x="21322771" y="8992640"/>
          <a:ext cx="2850022" cy="62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Avg</a:t>
          </a:r>
          <a:r>
            <a:rPr lang="en-US" sz="2200" baseline="0">
              <a:solidFill>
                <a:srgbClr val="385F7C"/>
              </a:solidFill>
              <a:latin typeface="+mn-lt"/>
              <a:ea typeface="+mn-ea"/>
              <a:cs typeface="+mn-cs"/>
            </a:rPr>
            <a:t> Monthly Tax Credit</a:t>
          </a:r>
          <a:endParaRPr lang="en-US" sz="2200">
            <a:solidFill>
              <a:srgbClr val="385F7C"/>
            </a:solidFill>
            <a:latin typeface="+mn-lt"/>
            <a:ea typeface="+mn-ea"/>
            <a:cs typeface="+mn-cs"/>
          </a:endParaRPr>
        </a:p>
        <a:p>
          <a:pPr marL="0" indent="0" algn="l"/>
          <a:r>
            <a:rPr lang="en-US" sz="2200">
              <a:solidFill>
                <a:srgbClr val="385F7C"/>
              </a:solidFill>
              <a:latin typeface="+mn-lt"/>
              <a:ea typeface="+mn-ea"/>
              <a:cs typeface="+mn-cs"/>
            </a:rPr>
            <a:t> </a:t>
          </a:r>
        </a:p>
      </xdr:txBody>
    </xdr:sp>
    <xdr:clientData/>
  </xdr:twoCellAnchor>
  <xdr:twoCellAnchor>
    <xdr:from>
      <xdr:col>46</xdr:col>
      <xdr:colOff>525595</xdr:colOff>
      <xdr:row>15</xdr:row>
      <xdr:rowOff>182753</xdr:rowOff>
    </xdr:from>
    <xdr:to>
      <xdr:col>54</xdr:col>
      <xdr:colOff>171294</xdr:colOff>
      <xdr:row>18</xdr:row>
      <xdr:rowOff>105330</xdr:rowOff>
    </xdr:to>
    <xdr:sp macro="" textlink="">
      <xdr:nvSpPr>
        <xdr:cNvPr id="43" name="TextBox 42">
          <a:extLst>
            <a:ext uri="{FF2B5EF4-FFF2-40B4-BE49-F238E27FC236}">
              <a16:creationId xmlns:a16="http://schemas.microsoft.com/office/drawing/2014/main" id="{9D58569C-7DF9-5D89-2BDC-4DAED82819FC}"/>
            </a:ext>
          </a:extLst>
        </xdr:cNvPr>
        <xdr:cNvSpPr txBox="1"/>
      </xdr:nvSpPr>
      <xdr:spPr>
        <a:xfrm>
          <a:off x="28738180" y="2970558"/>
          <a:ext cx="4552236" cy="480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Expansion</a:t>
          </a:r>
          <a:r>
            <a:rPr lang="en-US" sz="2200" baseline="0">
              <a:solidFill>
                <a:srgbClr val="385F7C"/>
              </a:solidFill>
              <a:latin typeface="+mn-lt"/>
              <a:ea typeface="+mn-ea"/>
              <a:cs typeface="+mn-cs"/>
            </a:rPr>
            <a:t> of Medicare Coverage</a:t>
          </a:r>
          <a:endParaRPr lang="en-US" sz="2200">
            <a:solidFill>
              <a:srgbClr val="385F7C"/>
            </a:solidFill>
            <a:latin typeface="+mn-lt"/>
            <a:ea typeface="+mn-ea"/>
            <a:cs typeface="+mn-cs"/>
          </a:endParaRPr>
        </a:p>
        <a:p>
          <a:pPr marL="0" indent="0" algn="l"/>
          <a:r>
            <a:rPr lang="en-US" sz="2200">
              <a:solidFill>
                <a:srgbClr val="385F7C"/>
              </a:solidFill>
              <a:latin typeface="+mn-lt"/>
              <a:ea typeface="+mn-ea"/>
              <a:cs typeface="+mn-cs"/>
            </a:rPr>
            <a:t> </a:t>
          </a:r>
        </a:p>
      </xdr:txBody>
    </xdr:sp>
    <xdr:clientData/>
  </xdr:twoCellAnchor>
  <xdr:twoCellAnchor>
    <xdr:from>
      <xdr:col>21</xdr:col>
      <xdr:colOff>270200</xdr:colOff>
      <xdr:row>48</xdr:row>
      <xdr:rowOff>59262</xdr:rowOff>
    </xdr:from>
    <xdr:to>
      <xdr:col>29</xdr:col>
      <xdr:colOff>232688</xdr:colOff>
      <xdr:row>51</xdr:row>
      <xdr:rowOff>45226</xdr:rowOff>
    </xdr:to>
    <xdr:sp macro="" textlink="">
      <xdr:nvSpPr>
        <xdr:cNvPr id="44" name="TextBox 43">
          <a:extLst>
            <a:ext uri="{FF2B5EF4-FFF2-40B4-BE49-F238E27FC236}">
              <a16:creationId xmlns:a16="http://schemas.microsoft.com/office/drawing/2014/main" id="{A6DAC6B0-4E1D-19A1-BBAD-485AF72C3AA8}"/>
            </a:ext>
          </a:extLst>
        </xdr:cNvPr>
        <xdr:cNvSpPr txBox="1"/>
      </xdr:nvSpPr>
      <xdr:spPr>
        <a:xfrm>
          <a:off x="13149859" y="8980238"/>
          <a:ext cx="4869024" cy="54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Marketplace</a:t>
          </a:r>
          <a:r>
            <a:rPr lang="en-US" sz="2200" baseline="0">
              <a:solidFill>
                <a:srgbClr val="385F7C"/>
              </a:solidFill>
              <a:latin typeface="+mn-lt"/>
              <a:ea typeface="+mn-ea"/>
              <a:cs typeface="+mn-cs"/>
            </a:rPr>
            <a:t> Health Insurance coverage </a:t>
          </a:r>
          <a:r>
            <a:rPr lang="en-US" sz="2200">
              <a:solidFill>
                <a:srgbClr val="385F7C"/>
              </a:solidFill>
              <a:latin typeface="+mn-lt"/>
              <a:ea typeface="+mn-ea"/>
              <a:cs typeface="+mn-cs"/>
            </a:rPr>
            <a:t> </a:t>
          </a:r>
        </a:p>
      </xdr:txBody>
    </xdr:sp>
    <xdr:clientData/>
  </xdr:twoCellAnchor>
  <xdr:twoCellAnchor>
    <xdr:from>
      <xdr:col>8</xdr:col>
      <xdr:colOff>163783</xdr:colOff>
      <xdr:row>21</xdr:row>
      <xdr:rowOff>159240</xdr:rowOff>
    </xdr:from>
    <xdr:to>
      <xdr:col>10</xdr:col>
      <xdr:colOff>485370</xdr:colOff>
      <xdr:row>29</xdr:row>
      <xdr:rowOff>128649</xdr:rowOff>
    </xdr:to>
    <xdr:sp macro="" textlink="ANALYSIS!V6">
      <xdr:nvSpPr>
        <xdr:cNvPr id="45" name="TextBox 44">
          <a:extLst>
            <a:ext uri="{FF2B5EF4-FFF2-40B4-BE49-F238E27FC236}">
              <a16:creationId xmlns:a16="http://schemas.microsoft.com/office/drawing/2014/main" id="{4671708B-2C3A-D330-6406-6FD98DD76181}"/>
            </a:ext>
          </a:extLst>
        </xdr:cNvPr>
        <xdr:cNvSpPr txBox="1"/>
      </xdr:nvSpPr>
      <xdr:spPr>
        <a:xfrm>
          <a:off x="5070320" y="4062167"/>
          <a:ext cx="1548221" cy="145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0BFC8C-EA44-4670-9557-F00C28C2BEA4}" type="TxLink">
            <a:rPr lang="en-US" sz="5000" b="1">
              <a:solidFill>
                <a:srgbClr val="385F7C"/>
              </a:solidFill>
              <a:latin typeface="+mn-lt"/>
              <a:ea typeface="+mn-ea"/>
              <a:cs typeface="+mn-cs"/>
            </a:rPr>
            <a:pPr marL="0" indent="0" algn="ctr"/>
            <a:t>51</a:t>
          </a:fld>
          <a:endParaRPr lang="en-US" sz="5000" b="1">
            <a:solidFill>
              <a:srgbClr val="385F7C"/>
            </a:solidFill>
            <a:latin typeface="+mn-lt"/>
            <a:ea typeface="+mn-ea"/>
            <a:cs typeface="+mn-cs"/>
          </a:endParaRPr>
        </a:p>
      </xdr:txBody>
    </xdr:sp>
    <xdr:clientData/>
  </xdr:twoCellAnchor>
  <xdr:twoCellAnchor>
    <xdr:from>
      <xdr:col>11</xdr:col>
      <xdr:colOff>362195</xdr:colOff>
      <xdr:row>22</xdr:row>
      <xdr:rowOff>21988</xdr:rowOff>
    </xdr:from>
    <xdr:to>
      <xdr:col>15</xdr:col>
      <xdr:colOff>65515</xdr:colOff>
      <xdr:row>27</xdr:row>
      <xdr:rowOff>128972</xdr:rowOff>
    </xdr:to>
    <xdr:sp macro="" textlink="ANALYSIS!W7">
      <xdr:nvSpPr>
        <xdr:cNvPr id="46" name="TextBox 45">
          <a:extLst>
            <a:ext uri="{FF2B5EF4-FFF2-40B4-BE49-F238E27FC236}">
              <a16:creationId xmlns:a16="http://schemas.microsoft.com/office/drawing/2014/main" id="{E28BC5A5-26D9-E34A-787D-835600360D92}"/>
            </a:ext>
          </a:extLst>
        </xdr:cNvPr>
        <xdr:cNvSpPr txBox="1"/>
      </xdr:nvSpPr>
      <xdr:spPr>
        <a:xfrm>
          <a:off x="7108683" y="4110768"/>
          <a:ext cx="2156588" cy="1036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610ED8D-7ADD-45BA-9D28-E856AF822CFE}" type="TxLink">
            <a:rPr lang="en-US" sz="4800" b="1">
              <a:solidFill>
                <a:srgbClr val="385F7C"/>
              </a:solidFill>
              <a:latin typeface="+mn-lt"/>
              <a:ea typeface="+mn-ea"/>
              <a:cs typeface="+mn-cs"/>
            </a:rPr>
            <a:pPr marL="0" indent="0" algn="ctr"/>
            <a:t>5.43%</a:t>
          </a:fld>
          <a:endParaRPr lang="en-US" sz="4800" b="1">
            <a:solidFill>
              <a:srgbClr val="385F7C"/>
            </a:solidFill>
            <a:latin typeface="+mn-lt"/>
            <a:ea typeface="+mn-ea"/>
            <a:cs typeface="+mn-cs"/>
          </a:endParaRPr>
        </a:p>
      </xdr:txBody>
    </xdr:sp>
    <xdr:clientData/>
  </xdr:twoCellAnchor>
  <xdr:twoCellAnchor>
    <xdr:from>
      <xdr:col>15</xdr:col>
      <xdr:colOff>16425</xdr:colOff>
      <xdr:row>22</xdr:row>
      <xdr:rowOff>170961</xdr:rowOff>
    </xdr:from>
    <xdr:to>
      <xdr:col>18</xdr:col>
      <xdr:colOff>404396</xdr:colOff>
      <xdr:row>26</xdr:row>
      <xdr:rowOff>97937</xdr:rowOff>
    </xdr:to>
    <xdr:sp macro="" textlink="ANALYSIS!X7">
      <xdr:nvSpPr>
        <xdr:cNvPr id="47" name="TextBox 46">
          <a:extLst>
            <a:ext uri="{FF2B5EF4-FFF2-40B4-BE49-F238E27FC236}">
              <a16:creationId xmlns:a16="http://schemas.microsoft.com/office/drawing/2014/main" id="{D1B59E73-8872-FC1F-F89D-AB18073B425E}"/>
            </a:ext>
          </a:extLst>
        </xdr:cNvPr>
        <xdr:cNvSpPr txBox="1"/>
      </xdr:nvSpPr>
      <xdr:spPr>
        <a:xfrm>
          <a:off x="9216181" y="4259741"/>
          <a:ext cx="2227922" cy="6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0D0C08-A4E7-4000-A5E8-39612FEDBFD6}" type="TxLink">
            <a:rPr lang="en-US" sz="2800" b="1">
              <a:solidFill>
                <a:srgbClr val="385F7C"/>
              </a:solidFill>
              <a:latin typeface="+mn-lt"/>
              <a:ea typeface="+mn-ea"/>
              <a:cs typeface="+mn-cs"/>
            </a:rPr>
            <a:pPr marL="0" indent="0" algn="ctr"/>
            <a:t> 19,589,000 </a:t>
          </a:fld>
          <a:endParaRPr lang="en-US" sz="2800" b="1">
            <a:solidFill>
              <a:srgbClr val="385F7C"/>
            </a:solidFill>
            <a:latin typeface="+mn-lt"/>
            <a:ea typeface="+mn-ea"/>
            <a:cs typeface="+mn-cs"/>
          </a:endParaRPr>
        </a:p>
      </xdr:txBody>
    </xdr:sp>
    <xdr:clientData/>
  </xdr:twoCellAnchor>
  <xdr:twoCellAnchor>
    <xdr:from>
      <xdr:col>15</xdr:col>
      <xdr:colOff>428056</xdr:colOff>
      <xdr:row>39</xdr:row>
      <xdr:rowOff>109640</xdr:rowOff>
    </xdr:from>
    <xdr:to>
      <xdr:col>18</xdr:col>
      <xdr:colOff>143950</xdr:colOff>
      <xdr:row>44</xdr:row>
      <xdr:rowOff>128401</xdr:rowOff>
    </xdr:to>
    <xdr:sp macro="" textlink="ANALYSIS!AA7">
      <xdr:nvSpPr>
        <xdr:cNvPr id="48" name="TextBox 47">
          <a:extLst>
            <a:ext uri="{FF2B5EF4-FFF2-40B4-BE49-F238E27FC236}">
              <a16:creationId xmlns:a16="http://schemas.microsoft.com/office/drawing/2014/main" id="{3A42429F-050F-7DDD-9E7B-75FDA358DC27}"/>
            </a:ext>
          </a:extLst>
        </xdr:cNvPr>
        <xdr:cNvSpPr txBox="1"/>
      </xdr:nvSpPr>
      <xdr:spPr>
        <a:xfrm>
          <a:off x="9627812" y="7357933"/>
          <a:ext cx="1555845" cy="948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F2727AA-1269-4E8E-9025-4A7E58702C80}" type="TxLink">
            <a:rPr lang="en-US" sz="4000" b="1">
              <a:solidFill>
                <a:srgbClr val="385F7C"/>
              </a:solidFill>
              <a:latin typeface="+mn-lt"/>
              <a:ea typeface="+mn-ea"/>
              <a:cs typeface="+mn-cs"/>
            </a:rPr>
            <a:pPr marL="0" indent="0" algn="ctr"/>
            <a:t> $292 </a:t>
          </a:fld>
          <a:endParaRPr lang="en-US" sz="4000" b="1">
            <a:solidFill>
              <a:srgbClr val="385F7C"/>
            </a:solidFill>
            <a:latin typeface="+mn-lt"/>
            <a:ea typeface="+mn-ea"/>
            <a:cs typeface="+mn-cs"/>
          </a:endParaRPr>
        </a:p>
      </xdr:txBody>
    </xdr:sp>
    <xdr:clientData/>
  </xdr:twoCellAnchor>
  <xdr:twoCellAnchor>
    <xdr:from>
      <xdr:col>11</xdr:col>
      <xdr:colOff>262638</xdr:colOff>
      <xdr:row>40</xdr:row>
      <xdr:rowOff>73099</xdr:rowOff>
    </xdr:from>
    <xdr:to>
      <xdr:col>15</xdr:col>
      <xdr:colOff>141042</xdr:colOff>
      <xdr:row>45</xdr:row>
      <xdr:rowOff>37846</xdr:rowOff>
    </xdr:to>
    <xdr:sp macro="" textlink="ANALYSIS!AB6">
      <xdr:nvSpPr>
        <xdr:cNvPr id="49" name="TextBox 48">
          <a:extLst>
            <a:ext uri="{FF2B5EF4-FFF2-40B4-BE49-F238E27FC236}">
              <a16:creationId xmlns:a16="http://schemas.microsoft.com/office/drawing/2014/main" id="{212A9DC0-07C2-02C0-4439-366EFA8AEA3C}"/>
            </a:ext>
          </a:extLst>
        </xdr:cNvPr>
        <xdr:cNvSpPr txBox="1"/>
      </xdr:nvSpPr>
      <xdr:spPr>
        <a:xfrm>
          <a:off x="7009126" y="7507245"/>
          <a:ext cx="2331672" cy="894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E199CB-B046-4A6B-AEC7-FEAA4E164CA8}" type="TxLink">
            <a:rPr lang="en-US" sz="2800" b="1">
              <a:solidFill>
                <a:srgbClr val="385F7C"/>
              </a:solidFill>
              <a:latin typeface="+mn-lt"/>
              <a:ea typeface="+mn-ea"/>
              <a:cs typeface="+mn-cs"/>
            </a:rPr>
            <a:pPr marL="0" indent="0" algn="ctr"/>
            <a:t> 17,140,454 </a:t>
          </a:fld>
          <a:endParaRPr lang="en-US" sz="2800" b="1">
            <a:solidFill>
              <a:srgbClr val="385F7C"/>
            </a:solidFill>
            <a:latin typeface="+mn-lt"/>
            <a:ea typeface="+mn-ea"/>
            <a:cs typeface="+mn-cs"/>
          </a:endParaRPr>
        </a:p>
      </xdr:txBody>
    </xdr:sp>
    <xdr:clientData/>
  </xdr:twoCellAnchor>
  <xdr:twoCellAnchor>
    <xdr:from>
      <xdr:col>7</xdr:col>
      <xdr:colOff>404255</xdr:colOff>
      <xdr:row>40</xdr:row>
      <xdr:rowOff>117008</xdr:rowOff>
    </xdr:from>
    <xdr:to>
      <xdr:col>11</xdr:col>
      <xdr:colOff>275001</xdr:colOff>
      <xdr:row>45</xdr:row>
      <xdr:rowOff>9122</xdr:rowOff>
    </xdr:to>
    <xdr:sp macro="" textlink="ANALYSIS!Z7">
      <xdr:nvSpPr>
        <xdr:cNvPr id="50" name="TextBox 49">
          <a:extLst>
            <a:ext uri="{FF2B5EF4-FFF2-40B4-BE49-F238E27FC236}">
              <a16:creationId xmlns:a16="http://schemas.microsoft.com/office/drawing/2014/main" id="{4241CD1A-7954-7EF3-64A6-90DB4012F1FD}"/>
            </a:ext>
          </a:extLst>
        </xdr:cNvPr>
        <xdr:cNvSpPr txBox="1"/>
      </xdr:nvSpPr>
      <xdr:spPr>
        <a:xfrm>
          <a:off x="4697475" y="7551154"/>
          <a:ext cx="2324014" cy="82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50C726D-E3D8-4C20-8FCD-19536734CA92}" type="TxLink">
            <a:rPr lang="en-US" sz="2800" b="1">
              <a:solidFill>
                <a:srgbClr val="385F7C"/>
              </a:solidFill>
              <a:latin typeface="+mn-lt"/>
              <a:ea typeface="+mn-ea"/>
              <a:cs typeface="+mn-cs"/>
            </a:rPr>
            <a:pPr marL="0" indent="0" algn="ctr"/>
            <a:t> 11,081,330 </a:t>
          </a:fld>
          <a:endParaRPr lang="en-US" sz="2800" b="1">
            <a:solidFill>
              <a:srgbClr val="385F7C"/>
            </a:solidFill>
            <a:latin typeface="+mn-lt"/>
            <a:ea typeface="+mn-ea"/>
            <a:cs typeface="+mn-cs"/>
          </a:endParaRPr>
        </a:p>
      </xdr:txBody>
    </xdr:sp>
    <xdr:clientData/>
  </xdr:twoCellAnchor>
  <xdr:twoCellAnchor>
    <xdr:from>
      <xdr:col>19</xdr:col>
      <xdr:colOff>214054</xdr:colOff>
      <xdr:row>22</xdr:row>
      <xdr:rowOff>119920</xdr:rowOff>
    </xdr:from>
    <xdr:to>
      <xdr:col>32</xdr:col>
      <xdr:colOff>155698</xdr:colOff>
      <xdr:row>46</xdr:row>
      <xdr:rowOff>120426</xdr:rowOff>
    </xdr:to>
    <xdr:graphicFrame macro="">
      <xdr:nvGraphicFramePr>
        <xdr:cNvPr id="51" name="Chart 50">
          <a:extLst>
            <a:ext uri="{FF2B5EF4-FFF2-40B4-BE49-F238E27FC236}">
              <a16:creationId xmlns:a16="http://schemas.microsoft.com/office/drawing/2014/main" id="{1D5EAC76-8088-49B4-9B6F-AF146C67E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256316</xdr:colOff>
      <xdr:row>17</xdr:row>
      <xdr:rowOff>118540</xdr:rowOff>
    </xdr:from>
    <xdr:to>
      <xdr:col>32</xdr:col>
      <xdr:colOff>289148</xdr:colOff>
      <xdr:row>22</xdr:row>
      <xdr:rowOff>23657</xdr:rowOff>
    </xdr:to>
    <xdr:sp macro="" textlink="">
      <xdr:nvSpPr>
        <xdr:cNvPr id="52" name="TextBox 51">
          <a:extLst>
            <a:ext uri="{FF2B5EF4-FFF2-40B4-BE49-F238E27FC236}">
              <a16:creationId xmlns:a16="http://schemas.microsoft.com/office/drawing/2014/main" id="{4ABC4ED5-8490-5C8E-7F08-93B49473CCA5}"/>
            </a:ext>
          </a:extLst>
        </xdr:cNvPr>
        <xdr:cNvSpPr txBox="1"/>
      </xdr:nvSpPr>
      <xdr:spPr>
        <a:xfrm>
          <a:off x="11909340" y="3278052"/>
          <a:ext cx="8005954" cy="834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chemeClr val="tx1">
                  <a:lumMod val="65000"/>
                  <a:lumOff val="35000"/>
                </a:schemeClr>
              </a:solidFill>
              <a:latin typeface="+mn-lt"/>
              <a:ea typeface="+mn-ea"/>
              <a:cs typeface="+mn-cs"/>
            </a:rPr>
            <a:t>Neveda</a:t>
          </a:r>
          <a:r>
            <a:rPr lang="en-US" sz="2200" baseline="0">
              <a:solidFill>
                <a:schemeClr val="tx1">
                  <a:lumMod val="65000"/>
                  <a:lumOff val="35000"/>
                </a:schemeClr>
              </a:solidFill>
              <a:latin typeface="+mn-lt"/>
              <a:ea typeface="+mn-ea"/>
              <a:cs typeface="+mn-cs"/>
            </a:rPr>
            <a:t> had the highest decline in uninsured rate, more people in this state  got some sort of health insurance</a:t>
          </a:r>
          <a:endParaRPr lang="en-US" sz="2200">
            <a:solidFill>
              <a:schemeClr val="tx1">
                <a:lumMod val="65000"/>
                <a:lumOff val="35000"/>
              </a:schemeClr>
            </a:solidFill>
            <a:latin typeface="+mn-lt"/>
            <a:ea typeface="+mn-ea"/>
            <a:cs typeface="+mn-cs"/>
          </a:endParaRPr>
        </a:p>
      </xdr:txBody>
    </xdr:sp>
    <xdr:clientData/>
  </xdr:twoCellAnchor>
  <xdr:twoCellAnchor>
    <xdr:from>
      <xdr:col>32</xdr:col>
      <xdr:colOff>430004</xdr:colOff>
      <xdr:row>20</xdr:row>
      <xdr:rowOff>79738</xdr:rowOff>
    </xdr:from>
    <xdr:to>
      <xdr:col>45</xdr:col>
      <xdr:colOff>510918</xdr:colOff>
      <xdr:row>45</xdr:row>
      <xdr:rowOff>147201</xdr:rowOff>
    </xdr:to>
    <xdr:graphicFrame macro="">
      <xdr:nvGraphicFramePr>
        <xdr:cNvPr id="53" name="Chart 52">
          <a:extLst>
            <a:ext uri="{FF2B5EF4-FFF2-40B4-BE49-F238E27FC236}">
              <a16:creationId xmlns:a16="http://schemas.microsoft.com/office/drawing/2014/main" id="{F40C03CB-6215-46C2-9DFE-085042A1D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515016</xdr:colOff>
      <xdr:row>17</xdr:row>
      <xdr:rowOff>89092</xdr:rowOff>
    </xdr:from>
    <xdr:to>
      <xdr:col>46</xdr:col>
      <xdr:colOff>256429</xdr:colOff>
      <xdr:row>22</xdr:row>
      <xdr:rowOff>61489</xdr:rowOff>
    </xdr:to>
    <xdr:sp macro="" textlink="">
      <xdr:nvSpPr>
        <xdr:cNvPr id="54" name="TextBox 53">
          <a:extLst>
            <a:ext uri="{FF2B5EF4-FFF2-40B4-BE49-F238E27FC236}">
              <a16:creationId xmlns:a16="http://schemas.microsoft.com/office/drawing/2014/main" id="{F4D6363E-DF00-FD1F-AC77-5BA709088EE6}"/>
            </a:ext>
          </a:extLst>
        </xdr:cNvPr>
        <xdr:cNvSpPr txBox="1"/>
      </xdr:nvSpPr>
      <xdr:spPr>
        <a:xfrm>
          <a:off x="20141162" y="3248604"/>
          <a:ext cx="8327852" cy="901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chemeClr val="tx1">
                  <a:lumMod val="65000"/>
                  <a:lumOff val="35000"/>
                </a:schemeClr>
              </a:solidFill>
              <a:latin typeface="+mn-lt"/>
              <a:ea typeface="+mn-ea"/>
              <a:cs typeface="+mn-cs"/>
            </a:rPr>
            <a:t>California</a:t>
          </a:r>
          <a:r>
            <a:rPr lang="en-US" sz="2200" baseline="0">
              <a:solidFill>
                <a:schemeClr val="tx1">
                  <a:lumMod val="65000"/>
                  <a:lumOff val="35000"/>
                </a:schemeClr>
              </a:solidFill>
              <a:latin typeface="+mn-lt"/>
              <a:ea typeface="+mn-ea"/>
              <a:cs typeface="+mn-cs"/>
            </a:rPr>
            <a:t> shows the highest change in health insurance coverage between 2010 - 2015</a:t>
          </a:r>
          <a:endParaRPr lang="en-US" sz="2200">
            <a:solidFill>
              <a:schemeClr val="tx1">
                <a:lumMod val="65000"/>
                <a:lumOff val="35000"/>
              </a:schemeClr>
            </a:solidFill>
            <a:latin typeface="+mn-lt"/>
            <a:ea typeface="+mn-ea"/>
            <a:cs typeface="+mn-cs"/>
          </a:endParaRPr>
        </a:p>
      </xdr:txBody>
    </xdr:sp>
    <xdr:clientData/>
  </xdr:twoCellAnchor>
  <xdr:twoCellAnchor>
    <xdr:from>
      <xdr:col>7</xdr:col>
      <xdr:colOff>386453</xdr:colOff>
      <xdr:row>48</xdr:row>
      <xdr:rowOff>13925</xdr:rowOff>
    </xdr:from>
    <xdr:to>
      <xdr:col>14</xdr:col>
      <xdr:colOff>383959</xdr:colOff>
      <xdr:row>50</xdr:row>
      <xdr:rowOff>64356</xdr:rowOff>
    </xdr:to>
    <xdr:sp macro="" textlink="">
      <xdr:nvSpPr>
        <xdr:cNvPr id="57" name="TextBox 56">
          <a:extLst>
            <a:ext uri="{FF2B5EF4-FFF2-40B4-BE49-F238E27FC236}">
              <a16:creationId xmlns:a16="http://schemas.microsoft.com/office/drawing/2014/main" id="{D91F37C9-4840-4BC1-8552-1382949AA089}"/>
            </a:ext>
          </a:extLst>
        </xdr:cNvPr>
        <xdr:cNvSpPr txBox="1"/>
      </xdr:nvSpPr>
      <xdr:spPr>
        <a:xfrm>
          <a:off x="4679673" y="8934901"/>
          <a:ext cx="4290725" cy="42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rgbClr val="385F7C"/>
              </a:solidFill>
              <a:latin typeface="+mn-lt"/>
              <a:ea typeface="+mn-ea"/>
              <a:cs typeface="+mn-cs"/>
            </a:rPr>
            <a:t>Employer Health Insurance Coverage</a:t>
          </a:r>
        </a:p>
      </xdr:txBody>
    </xdr:sp>
    <xdr:clientData/>
  </xdr:twoCellAnchor>
  <xdr:twoCellAnchor>
    <xdr:from>
      <xdr:col>7</xdr:col>
      <xdr:colOff>193388</xdr:colOff>
      <xdr:row>54</xdr:row>
      <xdr:rowOff>167617</xdr:rowOff>
    </xdr:from>
    <xdr:to>
      <xdr:col>20</xdr:col>
      <xdr:colOff>538976</xdr:colOff>
      <xdr:row>87</xdr:row>
      <xdr:rowOff>29067</xdr:rowOff>
    </xdr:to>
    <xdr:graphicFrame macro="">
      <xdr:nvGraphicFramePr>
        <xdr:cNvPr id="58" name="Chart 57">
          <a:extLst>
            <a:ext uri="{FF2B5EF4-FFF2-40B4-BE49-F238E27FC236}">
              <a16:creationId xmlns:a16="http://schemas.microsoft.com/office/drawing/2014/main" id="{1BAF6181-FFFE-41C1-8E0E-2D932B086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386451</xdr:colOff>
      <xdr:row>50</xdr:row>
      <xdr:rowOff>31826</xdr:rowOff>
    </xdr:from>
    <xdr:to>
      <xdr:col>20</xdr:col>
      <xdr:colOff>234577</xdr:colOff>
      <xdr:row>54</xdr:row>
      <xdr:rowOff>122293</xdr:rowOff>
    </xdr:to>
    <xdr:sp macro="" textlink="">
      <xdr:nvSpPr>
        <xdr:cNvPr id="59" name="TextBox 58">
          <a:extLst>
            <a:ext uri="{FF2B5EF4-FFF2-40B4-BE49-F238E27FC236}">
              <a16:creationId xmlns:a16="http://schemas.microsoft.com/office/drawing/2014/main" id="{65741DCB-F4D1-4A6D-8CA4-8ED1B1BB0B68}"/>
            </a:ext>
          </a:extLst>
        </xdr:cNvPr>
        <xdr:cNvSpPr txBox="1"/>
      </xdr:nvSpPr>
      <xdr:spPr>
        <a:xfrm>
          <a:off x="4679671" y="9324509"/>
          <a:ext cx="7821247" cy="833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chemeClr val="tx1">
                  <a:lumMod val="65000"/>
                  <a:lumOff val="35000"/>
                </a:schemeClr>
              </a:solidFill>
              <a:latin typeface="+mn-lt"/>
              <a:ea typeface="+mn-ea"/>
              <a:cs typeface="+mn-cs"/>
            </a:rPr>
            <a:t>California</a:t>
          </a:r>
          <a:r>
            <a:rPr lang="en-US" sz="2200" baseline="0">
              <a:solidFill>
                <a:schemeClr val="tx1">
                  <a:lumMod val="65000"/>
                  <a:lumOff val="35000"/>
                </a:schemeClr>
              </a:solidFill>
              <a:latin typeface="+mn-lt"/>
              <a:ea typeface="+mn-ea"/>
              <a:cs typeface="+mn-cs"/>
            </a:rPr>
            <a:t> shows the highest amount of people with employer health insurance coverage 2015</a:t>
          </a:r>
          <a:endParaRPr lang="en-US" sz="2200">
            <a:solidFill>
              <a:schemeClr val="tx1">
                <a:lumMod val="65000"/>
                <a:lumOff val="35000"/>
              </a:schemeClr>
            </a:solidFill>
            <a:latin typeface="+mn-lt"/>
            <a:ea typeface="+mn-ea"/>
            <a:cs typeface="+mn-cs"/>
          </a:endParaRPr>
        </a:p>
      </xdr:txBody>
    </xdr:sp>
    <xdr:clientData/>
  </xdr:twoCellAnchor>
  <xdr:twoCellAnchor>
    <xdr:from>
      <xdr:col>21</xdr:col>
      <xdr:colOff>152434</xdr:colOff>
      <xdr:row>53</xdr:row>
      <xdr:rowOff>125925</xdr:rowOff>
    </xdr:from>
    <xdr:to>
      <xdr:col>34</xdr:col>
      <xdr:colOff>538976</xdr:colOff>
      <xdr:row>87</xdr:row>
      <xdr:rowOff>22952</xdr:rowOff>
    </xdr:to>
    <xdr:graphicFrame macro="">
      <xdr:nvGraphicFramePr>
        <xdr:cNvPr id="64" name="Chart 63">
          <a:extLst>
            <a:ext uri="{FF2B5EF4-FFF2-40B4-BE49-F238E27FC236}">
              <a16:creationId xmlns:a16="http://schemas.microsoft.com/office/drawing/2014/main" id="{4844E7EB-0F14-47B3-83ED-2F7521AD3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270200</xdr:colOff>
      <xdr:row>50</xdr:row>
      <xdr:rowOff>40064</xdr:rowOff>
    </xdr:from>
    <xdr:to>
      <xdr:col>33</xdr:col>
      <xdr:colOff>274845</xdr:colOff>
      <xdr:row>54</xdr:row>
      <xdr:rowOff>130119</xdr:rowOff>
    </xdr:to>
    <xdr:sp macro="" textlink="">
      <xdr:nvSpPr>
        <xdr:cNvPr id="65" name="TextBox 64">
          <a:extLst>
            <a:ext uri="{FF2B5EF4-FFF2-40B4-BE49-F238E27FC236}">
              <a16:creationId xmlns:a16="http://schemas.microsoft.com/office/drawing/2014/main" id="{4730DCD9-EADF-7F79-D860-D77E51716EFF}"/>
            </a:ext>
          </a:extLst>
        </xdr:cNvPr>
        <xdr:cNvSpPr txBox="1"/>
      </xdr:nvSpPr>
      <xdr:spPr>
        <a:xfrm>
          <a:off x="13149859" y="9332747"/>
          <a:ext cx="7364449" cy="833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baseline="0">
              <a:solidFill>
                <a:schemeClr val="tx1">
                  <a:lumMod val="65000"/>
                  <a:lumOff val="35000"/>
                </a:schemeClr>
              </a:solidFill>
              <a:latin typeface="+mn-lt"/>
              <a:ea typeface="+mn-ea"/>
              <a:cs typeface="+mn-cs"/>
            </a:rPr>
            <a:t>Florida shows is the state with the highest amount of people with marketplace health insurance coverage 2016</a:t>
          </a:r>
          <a:endParaRPr lang="en-US" sz="2200">
            <a:solidFill>
              <a:schemeClr val="tx1">
                <a:lumMod val="65000"/>
                <a:lumOff val="35000"/>
              </a:schemeClr>
            </a:solidFill>
            <a:latin typeface="+mn-lt"/>
            <a:ea typeface="+mn-ea"/>
            <a:cs typeface="+mn-cs"/>
          </a:endParaRPr>
        </a:p>
      </xdr:txBody>
    </xdr:sp>
    <xdr:clientData/>
  </xdr:twoCellAnchor>
  <xdr:twoCellAnchor>
    <xdr:from>
      <xdr:col>46</xdr:col>
      <xdr:colOff>366832</xdr:colOff>
      <xdr:row>20</xdr:row>
      <xdr:rowOff>147022</xdr:rowOff>
    </xdr:from>
    <xdr:to>
      <xdr:col>58</xdr:col>
      <xdr:colOff>580165</xdr:colOff>
      <xdr:row>48</xdr:row>
      <xdr:rowOff>43545</xdr:rowOff>
    </xdr:to>
    <xdr:graphicFrame macro="">
      <xdr:nvGraphicFramePr>
        <xdr:cNvPr id="66" name="Chart 65">
          <a:extLst>
            <a:ext uri="{FF2B5EF4-FFF2-40B4-BE49-F238E27FC236}">
              <a16:creationId xmlns:a16="http://schemas.microsoft.com/office/drawing/2014/main" id="{1E700CBA-99C1-4E82-8308-A95D55422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525595</xdr:colOff>
      <xdr:row>18</xdr:row>
      <xdr:rowOff>38824</xdr:rowOff>
    </xdr:from>
    <xdr:to>
      <xdr:col>60</xdr:col>
      <xdr:colOff>267008</xdr:colOff>
      <xdr:row>21</xdr:row>
      <xdr:rowOff>43548</xdr:rowOff>
    </xdr:to>
    <xdr:sp macro="" textlink="">
      <xdr:nvSpPr>
        <xdr:cNvPr id="67" name="TextBox 66">
          <a:extLst>
            <a:ext uri="{FF2B5EF4-FFF2-40B4-BE49-F238E27FC236}">
              <a16:creationId xmlns:a16="http://schemas.microsoft.com/office/drawing/2014/main" id="{1FC39038-ABB3-AB07-9492-053EF118B4A6}"/>
            </a:ext>
          </a:extLst>
        </xdr:cNvPr>
        <xdr:cNvSpPr txBox="1"/>
      </xdr:nvSpPr>
      <xdr:spPr>
        <a:xfrm>
          <a:off x="28738180" y="3384190"/>
          <a:ext cx="8327852" cy="562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a:solidFill>
                <a:schemeClr val="tx1">
                  <a:lumMod val="65000"/>
                  <a:lumOff val="35000"/>
                </a:schemeClr>
              </a:solidFill>
              <a:latin typeface="+mn-lt"/>
              <a:ea typeface="+mn-ea"/>
              <a:cs typeface="+mn-cs"/>
            </a:rPr>
            <a:t>65%</a:t>
          </a:r>
          <a:r>
            <a:rPr lang="en-US" sz="2200" baseline="0">
              <a:solidFill>
                <a:schemeClr val="tx1">
                  <a:lumMod val="65000"/>
                  <a:lumOff val="35000"/>
                </a:schemeClr>
              </a:solidFill>
              <a:latin typeface="+mn-lt"/>
              <a:ea typeface="+mn-ea"/>
              <a:cs typeface="+mn-cs"/>
            </a:rPr>
            <a:t> of states expanded their health insurance using Medicare</a:t>
          </a:r>
          <a:endParaRPr lang="en-US" sz="2200">
            <a:solidFill>
              <a:schemeClr val="tx1">
                <a:lumMod val="65000"/>
                <a:lumOff val="35000"/>
              </a:schemeClr>
            </a:solidFill>
            <a:latin typeface="+mn-lt"/>
            <a:ea typeface="+mn-ea"/>
            <a:cs typeface="+mn-cs"/>
          </a:endParaRPr>
        </a:p>
      </xdr:txBody>
    </xdr:sp>
    <xdr:clientData/>
  </xdr:twoCellAnchor>
  <xdr:twoCellAnchor>
    <xdr:from>
      <xdr:col>34</xdr:col>
      <xdr:colOff>302408</xdr:colOff>
      <xdr:row>54</xdr:row>
      <xdr:rowOff>84738</xdr:rowOff>
    </xdr:from>
    <xdr:to>
      <xdr:col>46</xdr:col>
      <xdr:colOff>399334</xdr:colOff>
      <xdr:row>87</xdr:row>
      <xdr:rowOff>64145</xdr:rowOff>
    </xdr:to>
    <xdr:graphicFrame macro="">
      <xdr:nvGraphicFramePr>
        <xdr:cNvPr id="68" name="Chart 67">
          <a:extLst>
            <a:ext uri="{FF2B5EF4-FFF2-40B4-BE49-F238E27FC236}">
              <a16:creationId xmlns:a16="http://schemas.microsoft.com/office/drawing/2014/main" id="{1B11C27F-B8AD-4651-955F-F09881E19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469991</xdr:colOff>
      <xdr:row>50</xdr:row>
      <xdr:rowOff>82959</xdr:rowOff>
    </xdr:from>
    <xdr:to>
      <xdr:col>46</xdr:col>
      <xdr:colOff>474635</xdr:colOff>
      <xdr:row>54</xdr:row>
      <xdr:rowOff>169697</xdr:rowOff>
    </xdr:to>
    <xdr:sp macro="" textlink="">
      <xdr:nvSpPr>
        <xdr:cNvPr id="69" name="TextBox 68">
          <a:extLst>
            <a:ext uri="{FF2B5EF4-FFF2-40B4-BE49-F238E27FC236}">
              <a16:creationId xmlns:a16="http://schemas.microsoft.com/office/drawing/2014/main" id="{4D1D68F1-9AD3-C400-6C83-5E91FE674609}"/>
            </a:ext>
          </a:extLst>
        </xdr:cNvPr>
        <xdr:cNvSpPr txBox="1"/>
      </xdr:nvSpPr>
      <xdr:spPr>
        <a:xfrm>
          <a:off x="21322771" y="9375642"/>
          <a:ext cx="7364449" cy="830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baseline="0">
              <a:solidFill>
                <a:schemeClr val="tx1">
                  <a:lumMod val="65000"/>
                  <a:lumOff val="35000"/>
                </a:schemeClr>
              </a:solidFill>
              <a:latin typeface="+mn-lt"/>
              <a:ea typeface="+mn-ea"/>
              <a:cs typeface="+mn-cs"/>
            </a:rPr>
            <a:t>In Alaska the highest average monthly tax is being paid for health insurance</a:t>
          </a:r>
          <a:endParaRPr lang="en-US" sz="2200">
            <a:solidFill>
              <a:schemeClr val="tx1">
                <a:lumMod val="65000"/>
                <a:lumOff val="35000"/>
              </a:schemeClr>
            </a:solidFill>
            <a:latin typeface="+mn-lt"/>
            <a:ea typeface="+mn-ea"/>
            <a:cs typeface="+mn-cs"/>
          </a:endParaRPr>
        </a:p>
      </xdr:txBody>
    </xdr:sp>
    <xdr:clientData/>
  </xdr:twoCellAnchor>
  <xdr:twoCellAnchor>
    <xdr:from>
      <xdr:col>46</xdr:col>
      <xdr:colOff>540392</xdr:colOff>
      <xdr:row>53</xdr:row>
      <xdr:rowOff>64141</xdr:rowOff>
    </xdr:from>
    <xdr:to>
      <xdr:col>58</xdr:col>
      <xdr:colOff>255172</xdr:colOff>
      <xdr:row>87</xdr:row>
      <xdr:rowOff>147025</xdr:rowOff>
    </xdr:to>
    <xdr:graphicFrame macro="">
      <xdr:nvGraphicFramePr>
        <xdr:cNvPr id="70" name="Chart 69">
          <a:extLst>
            <a:ext uri="{FF2B5EF4-FFF2-40B4-BE49-F238E27FC236}">
              <a16:creationId xmlns:a16="http://schemas.microsoft.com/office/drawing/2014/main" id="{52C014BD-40AC-4D1D-AC1A-2E3F74B57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44338</xdr:colOff>
      <xdr:row>50</xdr:row>
      <xdr:rowOff>15349</xdr:rowOff>
    </xdr:from>
    <xdr:to>
      <xdr:col>58</xdr:col>
      <xdr:colOff>290743</xdr:colOff>
      <xdr:row>54</xdr:row>
      <xdr:rowOff>105816</xdr:rowOff>
    </xdr:to>
    <xdr:sp macro="" textlink="">
      <xdr:nvSpPr>
        <xdr:cNvPr id="71" name="TextBox 70">
          <a:extLst>
            <a:ext uri="{FF2B5EF4-FFF2-40B4-BE49-F238E27FC236}">
              <a16:creationId xmlns:a16="http://schemas.microsoft.com/office/drawing/2014/main" id="{2624FD83-2BB9-8ACC-C3A8-2A1C73E52554}"/>
            </a:ext>
          </a:extLst>
        </xdr:cNvPr>
        <xdr:cNvSpPr txBox="1"/>
      </xdr:nvSpPr>
      <xdr:spPr>
        <a:xfrm>
          <a:off x="28870240" y="9308032"/>
          <a:ext cx="6992893" cy="833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200" baseline="0">
              <a:solidFill>
                <a:schemeClr val="tx1">
                  <a:lumMod val="65000"/>
                  <a:lumOff val="35000"/>
                </a:schemeClr>
              </a:solidFill>
              <a:latin typeface="+mn-lt"/>
              <a:ea typeface="+mn-ea"/>
              <a:cs typeface="+mn-cs"/>
            </a:rPr>
            <a:t>California show the highest amount of individual who enrolled for Medicaid </a:t>
          </a:r>
          <a:endParaRPr lang="en-US" sz="2200">
            <a:solidFill>
              <a:schemeClr val="tx1">
                <a:lumMod val="65000"/>
                <a:lumOff val="35000"/>
              </a:schemeClr>
            </a:solidFill>
            <a:latin typeface="+mn-lt"/>
            <a:ea typeface="+mn-ea"/>
            <a:cs typeface="+mn-cs"/>
          </a:endParaRPr>
        </a:p>
      </xdr:txBody>
    </xdr:sp>
    <xdr:clientData/>
  </xdr:twoCellAnchor>
  <xdr:twoCellAnchor editAs="oneCell">
    <xdr:from>
      <xdr:col>46</xdr:col>
      <xdr:colOff>401725</xdr:colOff>
      <xdr:row>11</xdr:row>
      <xdr:rowOff>111776</xdr:rowOff>
    </xdr:from>
    <xdr:to>
      <xdr:col>57</xdr:col>
      <xdr:colOff>584879</xdr:colOff>
      <xdr:row>15</xdr:row>
      <xdr:rowOff>36052</xdr:rowOff>
    </xdr:to>
    <mc:AlternateContent xmlns:mc="http://schemas.openxmlformats.org/markup-compatibility/2006">
      <mc:Choice xmlns:a14="http://schemas.microsoft.com/office/drawing/2010/main" Requires="a14">
        <xdr:graphicFrame macro="">
          <xdr:nvGraphicFramePr>
            <xdr:cNvPr id="8" name="State 2">
              <a:extLst>
                <a:ext uri="{FF2B5EF4-FFF2-40B4-BE49-F238E27FC236}">
                  <a16:creationId xmlns:a16="http://schemas.microsoft.com/office/drawing/2014/main" id="{6819353B-AE4D-4FBD-B7C8-721798199F0C}"/>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28614310" y="2156166"/>
              <a:ext cx="6929642" cy="667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406309</xdr:colOff>
      <xdr:row>11</xdr:row>
      <xdr:rowOff>105030</xdr:rowOff>
    </xdr:from>
    <xdr:to>
      <xdr:col>44</xdr:col>
      <xdr:colOff>357153</xdr:colOff>
      <xdr:row>15</xdr:row>
      <xdr:rowOff>64935</xdr:rowOff>
    </xdr:to>
    <xdr:sp macro="" textlink="">
      <xdr:nvSpPr>
        <xdr:cNvPr id="9" name="TextBox 8">
          <a:extLst>
            <a:ext uri="{FF2B5EF4-FFF2-40B4-BE49-F238E27FC236}">
              <a16:creationId xmlns:a16="http://schemas.microsoft.com/office/drawing/2014/main" id="{A38227E7-2FEE-407B-C1AA-514883D5ABE0}"/>
            </a:ext>
          </a:extLst>
        </xdr:cNvPr>
        <xdr:cNvSpPr txBox="1"/>
      </xdr:nvSpPr>
      <xdr:spPr>
        <a:xfrm>
          <a:off x="15125919" y="2149420"/>
          <a:ext cx="12217185" cy="703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rgbClr val="385F7C"/>
              </a:solidFill>
            </a:rPr>
            <a:t>ONABANJO DAVID</a:t>
          </a:r>
          <a:r>
            <a:rPr lang="en-US" sz="4000" b="1" baseline="0">
              <a:solidFill>
                <a:srgbClr val="385F7C"/>
              </a:solidFill>
            </a:rPr>
            <a:t> ADEMOLA SEPTEMBER COHORT</a:t>
          </a:r>
          <a:endParaRPr lang="en-US" sz="4000" b="1">
            <a:solidFill>
              <a:srgbClr val="385F7C"/>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662037" backgroundQuery="1" createdVersion="8" refreshedVersion="8" minRefreshableVersion="3" recordCount="0" supportSubquery="1" supportAdvancedDrill="1" xr:uid="{9F869CBE-AFF3-4E3E-9554-A7609A18FF80}">
  <cacheSource type="external" connectionId="3"/>
  <cacheFields count="3">
    <cacheField name="[Measures].[Sum of Health Insurance Coverage Change (2010-2015)]" caption="Sum of Health Insurance Coverage Change (2010-2015)" numFmtId="0" hierarchy="19" level="32767"/>
    <cacheField name="[Health Insurrance].[State Medicaid Expansion (2016)].[State Medicaid Expansion (2016)]" caption="State Medicaid Expansion (2016)" numFmtId="0" hierarchy="9" level="1">
      <sharedItems count="2">
        <b v="0"/>
        <b v="1"/>
      </sharedItems>
    </cacheField>
    <cacheField name="[Health Insurrance].[State].[State]" caption="State" numFmtId="0" level="1">
      <sharedItems containsSemiMixedTypes="0" containsNonDate="0" containsString="0"/>
    </cacheField>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2"/>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2" memberValueDatatype="11" unbalanced="0">
      <fieldsUsage count="2">
        <fieldUsage x="-1"/>
        <fieldUsage x="1"/>
      </fieldsUsage>
    </cacheHierarchy>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0370373" backgroundQuery="1" createdVersion="8" refreshedVersion="8" minRefreshableVersion="3" recordCount="0" supportSubquery="1" supportAdvancedDrill="1" xr:uid="{1434A54B-EA55-4034-82AF-EC9185608FFE}">
  <cacheSource type="external" connectionId="3"/>
  <cacheFields count="2">
    <cacheField name="[Health Insurrance].[State].[State]" caption="State" numFmtId="0" level="1">
      <sharedItems count="5">
        <s v="California"/>
        <s v="Kentucky"/>
        <s v="Nevada"/>
        <s v="New Mexico"/>
        <s v="Oregon"/>
      </sharedItems>
    </cacheField>
    <cacheField name="[Measures].[Average of Uninsured Rate Change (2010-2015)]" caption="Average of Uninsured Rate Change (2010-2015)" numFmtId="0" hierarchy="18"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0"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4189814" backgroundQuery="1" createdVersion="8" refreshedVersion="8" minRefreshableVersion="3" recordCount="0" supportSubquery="1" supportAdvancedDrill="1" xr:uid="{0EB7CEA1-F9DF-436B-A1A5-CB34BA251457}">
  <cacheSource type="external" connectionId="3"/>
  <cacheFields count="2">
    <cacheField name="[Health Insurrance].[State].[State]" caption="State" numFmtId="0" level="1">
      <sharedItems count="5">
        <s v="California"/>
        <s v="Florida"/>
        <s v="Illinois"/>
        <s v="New York"/>
        <s v="Texas"/>
      </sharedItems>
    </cacheField>
    <cacheField name="[Measures].[Sum of Health Insurance Coverage Change (2010-2015)]" caption="Sum of Health Insurance Coverage Change (2010-2015)" numFmtId="0" hierarchy="19"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0"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5694446" backgroundQuery="1" createdVersion="8" refreshedVersion="8" minRefreshableVersion="3" recordCount="0" supportSubquery="1" supportAdvancedDrill="1" xr:uid="{63FACDEF-8823-4932-BF4F-8DF51B73FCD4}">
  <cacheSource type="external" connectionId="3"/>
  <cacheFields count="2">
    <cacheField name="[Health Insurrance].[State].[State]" caption="State" numFmtId="0" level="1">
      <sharedItems count="5">
        <s v="California"/>
        <s v="Florida"/>
        <s v="New York"/>
        <s v="Pennsylvania"/>
        <s v="Texas"/>
      </sharedItems>
    </cacheField>
    <cacheField name="[Measures].[Sum of Employer Health Insurance Coverage (2015)]" caption="Sum of Employer Health Insurance Coverage (2015)" numFmtId="0" hierarchy="22"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0"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7893517" backgroundQuery="1" createdVersion="8" refreshedVersion="8" minRefreshableVersion="3" recordCount="0" supportSubquery="1" supportAdvancedDrill="1" xr:uid="{C08ED86D-49BC-4B17-88DD-083E45CD8B3C}">
  <cacheSource type="external" connectionId="3"/>
  <cacheFields count="2">
    <cacheField name="[Health Insurrance].[State].[State]" caption="State" numFmtId="0" level="1">
      <sharedItems count="5">
        <s v="California"/>
        <s v="Florida"/>
        <s v="Georgia"/>
        <s v="North Carolina"/>
        <s v="Texas"/>
      </sharedItems>
    </cacheField>
    <cacheField name="[Measures].[Sum of Marketplace Health Insurance Coverage (2016)]" caption="Sum of Marketplace Health Insurance Coverage (2016)" numFmtId="0" hierarchy="24"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0"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2928241" backgroundQuery="1" createdVersion="8" refreshedVersion="8" minRefreshableVersion="3" recordCount="0" supportSubquery="1" supportAdvancedDrill="1" xr:uid="{0B009FC3-47E0-409B-8F3A-D0F78855103A}">
  <cacheSource type="external" connectionId="3"/>
  <cacheFields count="2">
    <cacheField name="[Health Insurrance].[State].[State]" caption="State" numFmtId="0" level="1">
      <sharedItems count="5">
        <s v="California"/>
        <s v="Connecticut"/>
        <s v="New York"/>
        <s v="Ohio"/>
        <s v="Washington"/>
      </sharedItems>
    </cacheField>
    <cacheField name="[Measures].[Sum of Medicaid Enrollment Change (2013-2016)]" caption="Sum of Medicaid Enrollment Change (2013-2016)" numFmtId="0" hierarchy="20"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2"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2"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2"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2"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2"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2"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2"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2"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2"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2"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2"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2"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2"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2"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99930092595" backgroundQuery="1" createdVersion="8" refreshedVersion="8" minRefreshableVersion="3" recordCount="0" supportSubquery="1" supportAdvancedDrill="1" xr:uid="{771F8279-1C29-45C4-BF4A-3993D12630F5}">
  <cacheSource type="external" connectionId="3"/>
  <cacheFields count="2">
    <cacheField name="[Health Insurrance].[State].[State]" caption="State" numFmtId="0" level="1">
      <sharedItems count="5">
        <s v="Alaska"/>
        <s v="Louisiana"/>
        <s v="North Carolina"/>
        <s v="West Virginia"/>
        <s v="Wyoming"/>
      </sharedItems>
    </cacheField>
    <cacheField name="[Measures].[Sum of Average Monthly Tax Credit (2016)]" caption="Sum of Average Monthly Tax Credit (2016)" numFmtId="0" hierarchy="29" level="32767"/>
  </cacheFields>
  <cacheHierarchies count="32">
    <cacheHierarchy uniqueName="[Health Insurrance].[State]" caption="State" attribute="1" defaultMemberUniqueName="[Health Insurrance].[State].[All]" allUniqueName="[Health Insurrance].[State].[All]" dimensionUniqueName="[Health Insurrance]" displayFolder="" count="2" memberValueDatatype="130" unbalanced="0">
      <fieldsUsage count="2">
        <fieldUsage x="-1"/>
        <fieldUsage x="0"/>
      </fieldsUsage>
    </cacheHierarchy>
    <cacheHierarchy uniqueName="[Health Insurrance].[Uninsured Rate (2010)]" caption="Uninsured Rate (2010)" attribute="1" defaultMemberUniqueName="[Health Insurrance].[Uninsured Rate (2010)].[All]" allUniqueName="[Health Insurrance].[Uninsured Rate (2010)].[All]" dimensionUniqueName="[Health Insurrance]" displayFolder="" count="2"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2"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2"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2"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2"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2"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2"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2"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2"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2"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2"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2"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2"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2"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dimensions count="2">
    <dimension name="Health Insurrance" uniqueName="[Health Insurrance]" caption="Health Insurrance"/>
    <dimension measure="1" name="Measures" uniqueName="[Measures]" caption="Measures"/>
  </dimensions>
  <measureGroups count="1">
    <measureGroup name="Health Insurrance" caption="Health Insurranc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6.784164004632" backgroundQuery="1" createdVersion="3" refreshedVersion="8" minRefreshableVersion="3" recordCount="0" supportSubquery="1" supportAdvancedDrill="1" xr:uid="{C077DFBC-BFEF-4C92-BB90-2FC71A40B514}">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Health Insurrance].[State]" caption="State" attribute="1" defaultMemberUniqueName="[Health Insurrance].[State].[All]" allUniqueName="[Health Insurrance].[State].[All]" dimensionUniqueName="[Health Insurrance]" displayFolder="" count="2" memberValueDatatype="130" unbalanced="0"/>
    <cacheHierarchy uniqueName="[Health Insurrance].[Uninsured Rate (2010)]" caption="Uninsured Rate (2010)" attribute="1" defaultMemberUniqueName="[Health Insurrance].[Uninsured Rate (2010)].[All]" allUniqueName="[Health Insurrance].[Uninsured Rate (2010)].[All]" dimensionUniqueName="[Health Insurrance]" displayFolder="" count="0" memberValueDatatype="5" unbalanced="0"/>
    <cacheHierarchy uniqueName="[Health Insurrance].[Uninsured Rate (2015)]" caption="Uninsured Rate (2015)" attribute="1" defaultMemberUniqueName="[Health Insurrance].[Uninsured Rate (2015)].[All]" allUniqueName="[Health Insurrance].[Uninsured Rate (2015)].[All]" dimensionUniqueName="[Health Insurrance]" displayFolder="" count="0" memberValueDatatype="5" unbalanced="0"/>
    <cacheHierarchy uniqueName="[Health Insurrance].[Uninsured Rate Change (2010-2015)]" caption="Uninsured Rate Change (2010-2015)" attribute="1" defaultMemberUniqueName="[Health Insurrance].[Uninsured Rate Change (2010-2015)].[All]" allUniqueName="[Health Insurrance].[Uninsured Rate Change (2010-2015)].[All]" dimensionUniqueName="[Health Insurrance]" displayFolder="" count="0" memberValueDatatype="5" unbalanced="0"/>
    <cacheHierarchy uniqueName="[Health Insurrance].[Health Insurance Coverage Change (2010-2015)]" caption="Health Insurance Coverage Change (2010-2015)" attribute="1" defaultMemberUniqueName="[Health Insurrance].[Health Insurance Coverage Change (2010-2015)].[All]" allUniqueName="[Health Insurrance].[Health Insurance Coverage Change (2010-2015)].[All]" dimensionUniqueName="[Health Insurrance]" displayFolder="" count="0" memberValueDatatype="20" unbalanced="0"/>
    <cacheHierarchy uniqueName="[Health Insurrance].[Employer Health Insurance Coverage (2015)]" caption="Employer Health Insurance Coverage (2015)" attribute="1" defaultMemberUniqueName="[Health Insurrance].[Employer Health Insurance Coverage (2015)].[All]" allUniqueName="[Health Insurrance].[Employer Health Insurance Coverage (2015)].[All]" dimensionUniqueName="[Health Insurrance]" displayFolder="" count="0" memberValueDatatype="20" unbalanced="0"/>
    <cacheHierarchy uniqueName="[Health Insurrance].[Marketplace Health Insurance Coverage (2016)]" caption="Marketplace Health Insurance Coverage (2016)" attribute="1" defaultMemberUniqueName="[Health Insurrance].[Marketplace Health Insurance Coverage (2016)].[All]" allUniqueName="[Health Insurrance].[Marketplace Health Insurance Coverage (2016)].[All]" dimensionUniqueName="[Health Insurrance]" displayFolder="" count="0" memberValueDatatype="20" unbalanced="0"/>
    <cacheHierarchy uniqueName="[Health Insurrance].[Marketplace Tax Credits (2016)]" caption="Marketplace Tax Credits (2016)" attribute="1" defaultMemberUniqueName="[Health Insurrance].[Marketplace Tax Credits (2016)].[All]" allUniqueName="[Health Insurrance].[Marketplace Tax Credits (2016)].[All]" dimensionUniqueName="[Health Insurrance]" displayFolder="" count="0" memberValueDatatype="20" unbalanced="0"/>
    <cacheHierarchy uniqueName="[Health Insurrance].[Average Monthly Tax Credit (2016)]" caption="Average Monthly Tax Credit (2016)" attribute="1" defaultMemberUniqueName="[Health Insurrance].[Average Monthly Tax Credit (2016)].[All]" allUniqueName="[Health Insurrance].[Average Monthly Tax Credit (2016)].[All]" dimensionUniqueName="[Health Insurrance]" displayFolder="" count="0" memberValueDatatype="5" unbalanced="0"/>
    <cacheHierarchy uniqueName="[Health Insurrance].[State Medicaid Expansion (2016)]" caption="State Medicaid Expansion (2016)" attribute="1" defaultMemberUniqueName="[Health Insurrance].[State Medicaid Expansion (2016)].[All]" allUniqueName="[Health Insurrance].[State Medicaid Expansion (2016)].[All]" dimensionUniqueName="[Health Insurrance]" displayFolder="" count="0" memberValueDatatype="11" unbalanced="0"/>
    <cacheHierarchy uniqueName="[Health Insurrance].[Medicaid expansion status]" caption="Medicaid expansion status" attribute="1" defaultMemberUniqueName="[Health Insurrance].[Medicaid expansion status].[All]" allUniqueName="[Health Insurrance].[Medicaid expansion status].[All]" dimensionUniqueName="[Health Insurrance]" displayFolder="" count="0" memberValueDatatype="130" unbalanced="0"/>
    <cacheHierarchy uniqueName="[Health Insurrance].[Medicaid Enrollment (2013)]" caption="Medicaid Enrollment (2013)" attribute="1" defaultMemberUniqueName="[Health Insurrance].[Medicaid Enrollment (2013)].[All]" allUniqueName="[Health Insurrance].[Medicaid Enrollment (2013)].[All]" dimensionUniqueName="[Health Insurrance]" displayFolder="" count="0" memberValueDatatype="20" unbalanced="0"/>
    <cacheHierarchy uniqueName="[Health Insurrance].[Medicaid Enrollment (2016)]" caption="Medicaid Enrollment (2016)" attribute="1" defaultMemberUniqueName="[Health Insurrance].[Medicaid Enrollment (2016)].[All]" allUniqueName="[Health Insurrance].[Medicaid Enrollment (2016)].[All]" dimensionUniqueName="[Health Insurrance]" displayFolder="" count="0" memberValueDatatype="20" unbalanced="0"/>
    <cacheHierarchy uniqueName="[Health Insurrance].[Medicaid Enrollment Change (2013-2016)]" caption="Medicaid Enrollment Change (2013-2016)" attribute="1" defaultMemberUniqueName="[Health Insurrance].[Medicaid Enrollment Change (2013-2016)].[All]" allUniqueName="[Health Insurrance].[Medicaid Enrollment Change (2013-2016)].[All]" dimensionUniqueName="[Health Insurrance]" displayFolder="" count="0" memberValueDatatype="20" unbalanced="0"/>
    <cacheHierarchy uniqueName="[Health Insurrance].[Medicare Enrollment (2016)]" caption="Medicare Enrollment (2016)" attribute="1" defaultMemberUniqueName="[Health Insurrance].[Medicare Enrollment (2016)].[All]" allUniqueName="[Health Insurrance].[Medicare Enrollment (2016)].[All]" dimensionUniqueName="[Health Insurrance]" displayFolder="" count="0" memberValueDatatype="20" unbalanced="0"/>
    <cacheHierarchy uniqueName="[Measures].[__XL_Count Health Insurrance]" caption="__XL_Count Health Insurrance" measure="1" displayFolder="" measureGroup="Health Insurrance" count="0" hidden="1"/>
    <cacheHierarchy uniqueName="[Measures].[__No measures defined]" caption="__No measures defined" measure="1" displayFolder="" count="0" hidden="1"/>
    <cacheHierarchy uniqueName="[Measures].[Sum of Uninsured Rate Change (2010-2015)]" caption="Sum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Average of Uninsured Rate Change (2010-2015)]" caption="Average of Uninsured Rate Change (2010-2015)" measure="1" displayFolder="" measureGroup="Health Insurrance" count="0" hidden="1">
      <extLst>
        <ext xmlns:x15="http://schemas.microsoft.com/office/spreadsheetml/2010/11/main" uri="{B97F6D7D-B522-45F9-BDA1-12C45D357490}">
          <x15:cacheHierarchy aggregatedColumn="3"/>
        </ext>
      </extLst>
    </cacheHierarchy>
    <cacheHierarchy uniqueName="[Measures].[Sum of Health Insurance Coverage Change (2010-2015)]" caption="Sum of Health Insurance Coverage Change (2010-2015)" measure="1" displayFolder="" measureGroup="Health Insurrance" count="0" hidden="1">
      <extLst>
        <ext xmlns:x15="http://schemas.microsoft.com/office/spreadsheetml/2010/11/main" uri="{B97F6D7D-B522-45F9-BDA1-12C45D357490}">
          <x15:cacheHierarchy aggregatedColumn="4"/>
        </ext>
      </extLst>
    </cacheHierarchy>
    <cacheHierarchy uniqueName="[Measures].[Sum of Medicaid Enrollment Change (2013-2016)]" caption="Sum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Average of Medicaid Enrollment Change (2013-2016)]" caption="Average of Medicaid Enrollment Change (2013-2016)" measure="1" displayFolder="" measureGroup="Health Insurrance" count="0" hidden="1">
      <extLst>
        <ext xmlns:x15="http://schemas.microsoft.com/office/spreadsheetml/2010/11/main" uri="{B97F6D7D-B522-45F9-BDA1-12C45D357490}">
          <x15:cacheHierarchy aggregatedColumn="13"/>
        </ext>
      </extLst>
    </cacheHierarchy>
    <cacheHierarchy uniqueName="[Measures].[Sum of Employer Health Insurance Coverage (2015)]" caption="Sum of Employer Health Insurance Coverage (2015)" measure="1" displayFolder="" measureGroup="Health Insurrance" count="0" hidden="1">
      <extLst>
        <ext xmlns:x15="http://schemas.microsoft.com/office/spreadsheetml/2010/11/main" uri="{B97F6D7D-B522-45F9-BDA1-12C45D357490}">
          <x15:cacheHierarchy aggregatedColumn="5"/>
        </ext>
      </extLst>
    </cacheHierarchy>
    <cacheHierarchy uniqueName="[Measures].[Count of State Medicaid Expansion (2016)]" caption="Count of State Medicaid Expansion (2016)" measure="1" displayFolder="" measureGroup="Health Insurrance" count="0" hidden="1">
      <extLst>
        <ext xmlns:x15="http://schemas.microsoft.com/office/spreadsheetml/2010/11/main" uri="{B97F6D7D-B522-45F9-BDA1-12C45D357490}">
          <x15:cacheHierarchy aggregatedColumn="9"/>
        </ext>
      </extLst>
    </cacheHierarchy>
    <cacheHierarchy uniqueName="[Measures].[Sum of Marketplace Health Insurance Coverage (2016)]" caption="Sum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Average of Marketplace Health Insurance Coverage (2016)]" caption="Average of Marketplace Health Insurance Coverage (2016)" measure="1" displayFolder="" measureGroup="Health Insurrance" count="0" hidden="1">
      <extLst>
        <ext xmlns:x15="http://schemas.microsoft.com/office/spreadsheetml/2010/11/main" uri="{B97F6D7D-B522-45F9-BDA1-12C45D357490}">
          <x15:cacheHierarchy aggregatedColumn="6"/>
        </ext>
      </extLst>
    </cacheHierarchy>
    <cacheHierarchy uniqueName="[Measures].[Sum of Uninsured Rate (2010)]" caption="Sum of Uninsured Rate (2010)" measure="1" displayFolder="" measureGroup="Health Insurrance" count="0" hidden="1">
      <extLst>
        <ext xmlns:x15="http://schemas.microsoft.com/office/spreadsheetml/2010/11/main" uri="{B97F6D7D-B522-45F9-BDA1-12C45D357490}">
          <x15:cacheHierarchy aggregatedColumn="1"/>
        </ext>
      </extLst>
    </cacheHierarchy>
    <cacheHierarchy uniqueName="[Measures].[Sum of Uninsured Rate (2015)]" caption="Sum of Uninsured Rate (2015)" measure="1" displayFolder="" measureGroup="Health Insurrance" count="0" hidden="1">
      <extLst>
        <ext xmlns:x15="http://schemas.microsoft.com/office/spreadsheetml/2010/11/main" uri="{B97F6D7D-B522-45F9-BDA1-12C45D357490}">
          <x15:cacheHierarchy aggregatedColumn="2"/>
        </ext>
      </extLst>
    </cacheHierarchy>
    <cacheHierarchy uniqueName="[Measures].[Sum of Marketplace Tax Credits (2016)]" caption="Sum of Marketplace Tax Credits (2016)" measure="1" displayFolder="" measureGroup="Health Insurrance" count="0" hidden="1">
      <extLst>
        <ext xmlns:x15="http://schemas.microsoft.com/office/spreadsheetml/2010/11/main" uri="{B97F6D7D-B522-45F9-BDA1-12C45D357490}">
          <x15:cacheHierarchy aggregatedColumn="7"/>
        </ext>
      </extLst>
    </cacheHierarchy>
    <cacheHierarchy uniqueName="[Measures].[Sum of Average Monthly Tax Credit (2016)]" caption="Sum of Average Monthly Tax Credit (2016)" measure="1" displayFolder="" measureGroup="Health Insurrance" count="0" hidden="1">
      <extLst>
        <ext xmlns:x15="http://schemas.microsoft.com/office/spreadsheetml/2010/11/main" uri="{B97F6D7D-B522-45F9-BDA1-12C45D357490}">
          <x15:cacheHierarchy aggregatedColumn="8"/>
        </ext>
      </extLst>
    </cacheHierarchy>
    <cacheHierarchy uniqueName="[Measures].[Sum of Medicaid Enrollment (2016)]" caption="Sum of Medicaid Enrollment (2016)" measure="1" displayFolder="" measureGroup="Health Insurrance" count="0" hidden="1">
      <extLst>
        <ext xmlns:x15="http://schemas.microsoft.com/office/spreadsheetml/2010/11/main" uri="{B97F6D7D-B522-45F9-BDA1-12C45D357490}">
          <x15:cacheHierarchy aggregatedColumn="12"/>
        </ext>
      </extLst>
    </cacheHierarchy>
    <cacheHierarchy uniqueName="[Measures].[Sum of Medicaid Enrollment (2013)]" caption="Sum of Medicaid Enrollment (2013)" measure="1" displayFolder="" measureGroup="Health Insurranc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666370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9D7B3-EE4E-4713-B1EA-812CD77FBFCD}" name="PivotTable2"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rowHeaderCaption="State">
  <location ref="D1:E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4"/>
    </i>
    <i>
      <x v="1"/>
    </i>
    <i>
      <x v="3"/>
    </i>
    <i>
      <x v="2"/>
    </i>
  </rowItems>
  <colItems count="1">
    <i/>
  </colItems>
  <dataFields count="1">
    <dataField name="Sum of Health Insurance Coverage Change (2010-2015)" fld="1"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D8E149-1C57-440D-8F4A-ACEBD27AAB58}" name="PivotTable6"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0" rowHeaderCaption="State " colHeaderCaption="State Medicaid Expansion">
  <location ref="P1:Q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4"/>
    </i>
    <i>
      <x v="2"/>
    </i>
    <i>
      <x v="3"/>
    </i>
    <i>
      <x v="1"/>
    </i>
  </rowItems>
  <colItems count="1">
    <i/>
  </colItems>
  <dataFields count="1">
    <dataField name="Sum of Average Monthly Tax Credit (2016)" fld="1" baseField="0" baseItem="0" numFmtId="166"/>
  </dataFields>
  <formats count="3">
    <format dxfId="4">
      <pivotArea type="topRight" dataOnly="0" labelOnly="1" outline="0" fieldPosition="0"/>
    </format>
    <format dxfId="3">
      <pivotArea outline="0" collapsedLevelsAreSubtotals="1" fieldPosition="0"/>
    </format>
    <format dxfId="2">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caption="Average of Medicaid Enrollment Change (2013-2016)"/>
    <pivotHierarchy dragToData="1"/>
    <pivotHierarchy dragToData="1"/>
    <pivotHierarchy dragToData="1"/>
    <pivotHierarchy dragToData="1" caption="Average of Marketplace Health Insurance Coverage (2016)"/>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2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2A39E-DE44-4D58-8381-430E943855C8}" name="PivotTable1"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rowHeaderCaption="State">
  <location ref="A1:B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4"/>
    </i>
    <i>
      <x/>
    </i>
    <i>
      <x v="1"/>
    </i>
    <i>
      <x v="3"/>
    </i>
  </rowItems>
  <colItems count="1">
    <i/>
  </colItems>
  <dataFields count="1">
    <dataField name="Average of Uninsured Rate Change (2010-2015)" fld="1" subtotal="average" baseField="0" baseItem="0" numFmtId="10"/>
  </dataFields>
  <formats count="2">
    <format dxfId="6">
      <pivotArea outline="0" collapsedLevelsAreSubtotals="1" fieldPosition="0"/>
    </format>
    <format dxfId="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8">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3A2177-FB8E-4006-99BB-67D607A5CDA0}" name="PivotTable4"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9" rowHeaderCaption="State Medicaid Expansion" colHeaderCaption="State Medicaid Expansion">
  <location ref="M1:N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Sum of Health Insurance Coverage Change (2010-2015)" fld="0" baseField="0" baseItem="0" numFmtId="164"/>
  </dataFields>
  <formats count="3">
    <format dxfId="9">
      <pivotArea type="topRight" dataOnly="0" labelOnly="1" outline="0" fieldPosition="0"/>
    </format>
    <format dxfId="8">
      <pivotArea outline="0" collapsedLevelsAreSubtotals="1" fieldPosition="0"/>
    </format>
    <format dxfId="7">
      <pivotArea dataOnly="0" labelOnly="1" outline="0" axis="axisValues" fieldPosition="0"/>
    </format>
  </formats>
  <chartFormats count="6">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1" count="1" selected="0">
            <x v="0"/>
          </reference>
        </references>
      </pivotArea>
    </chartFormat>
    <chartFormat chart="18" format="14">
      <pivotArea type="data" outline="0" fieldPosition="0">
        <references count="2">
          <reference field="4294967294" count="1" selected="0">
            <x v="0"/>
          </reference>
          <reference field="1" count="1" selected="0">
            <x v="1"/>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caption="Average of Medicaid Enrollment Change (2013-2016)"/>
    <pivotHierarchy dragToData="1"/>
    <pivotHierarchy dragToData="1"/>
    <pivotHierarchy dragToData="1"/>
    <pivotHierarchy dragToData="1" caption="Average of Marketplace Health Insurance Coverage (2016)"/>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FD48F3-9C5C-4969-855E-17C34AC57216}" name="PivotTable3"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rowHeaderCaption="State" colHeaderCaption="State Medicaid Expansion">
  <location ref="G1:H6"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4"/>
    </i>
    <i>
      <x v="2"/>
    </i>
    <i>
      <x v="1"/>
    </i>
    <i>
      <x v="3"/>
    </i>
  </rowItems>
  <colItems count="1">
    <i/>
  </colItems>
  <dataFields count="1">
    <dataField name="Sum of Employer Health Insurance Coverage (2015)" fld="1" baseField="0" baseItem="0" numFmtId="164"/>
  </dataFields>
  <formats count="3">
    <format dxfId="12">
      <pivotArea type="topRight" dataOnly="0" labelOnly="1" outline="0" fieldPosition="0"/>
    </format>
    <format dxfId="11">
      <pivotArea outline="0" collapsedLevelsAreSubtotals="1" fieldPosition="0"/>
    </format>
    <format dxfId="10">
      <pivotArea dataOnly="0" labelOnly="1" outline="0" axis="axisValues" fieldPosition="0"/>
    </format>
  </formats>
  <chartFormats count="2">
    <chartFormat chart="15" format="3"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caption="Average of Medicaid Enrollment Change (2013-2016)"/>
    <pivotHierarchy dragToData="1"/>
    <pivotHierarchy dragToData="1"/>
    <pivotHierarchy dragToData="1"/>
    <pivotHierarchy dragToData="1" caption="Average of Marketplace Health Insurance Coverage (2016)"/>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2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131897-577A-45E9-B2F2-EBA74FECD867}" name="PivotTable5"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8" rowHeaderCaption="State" colHeaderCaption="State Medicaid Expansion">
  <location ref="J2:K7"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4"/>
    </i>
    <i>
      <x/>
    </i>
    <i>
      <x v="1"/>
    </i>
  </rowItems>
  <colItems count="1">
    <i/>
  </colItems>
  <dataFields count="1">
    <dataField name="Sum of Marketplace Health Insurance Coverage (2016)" fld="1" baseField="0" baseItem="0"/>
  </dataFields>
  <formats count="3">
    <format dxfId="15">
      <pivotArea type="topRight" dataOnly="0" labelOnly="1" outline="0" fieldPosition="0"/>
    </format>
    <format dxfId="14">
      <pivotArea outline="0" collapsedLevelsAreSubtotals="1" fieldPosition="0"/>
    </format>
    <format dxfId="13">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caption="Average of Medicaid Enrollment Change (2013-2016)"/>
    <pivotHierarchy dragToData="1"/>
    <pivotHierarchy dragToData="1"/>
    <pivotHierarchy dragToData="1"/>
    <pivotHierarchy dragToData="1" caption="Average of Marketplace Health Insurance Coverage (2016)"/>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24">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F9B2CF-62F2-4F58-B1D1-103DAF1FED3B}" name="PivotTable7"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0" rowHeaderCaption="State " colHeaderCaption="State Medicaid Expansion">
  <location ref="S1:T6"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4"/>
    </i>
    <i>
      <x v="2"/>
    </i>
    <i>
      <x v="1"/>
    </i>
    <i>
      <x/>
    </i>
  </rowItems>
  <colItems count="1">
    <i/>
  </colItems>
  <dataFields count="1">
    <dataField name="Sum of Medicaid Enrollment Change (2013-2016)" fld="1" baseField="0" baseItem="0"/>
  </dataFields>
  <formats count="4">
    <format dxfId="19">
      <pivotArea type="topRight" dataOnly="0" labelOnly="1" outline="0" fieldPosition="0"/>
    </format>
    <format dxfId="18">
      <pivotArea dataOnly="0" labelOnly="1" outline="0" axis="axisValues" fieldPosition="0"/>
    </format>
    <format dxfId="17">
      <pivotArea outline="0" collapsedLevelsAreSubtotals="1" fieldPosition="0"/>
    </format>
    <format dxfId="16">
      <pivotArea dataOnly="0" labelOnly="1" outline="0" fieldPosition="0">
        <references count="1">
          <reference field="4294967294" count="1">
            <x v="0"/>
          </reference>
        </references>
      </pivotArea>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2">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Uninsured Rate Change (2010-2015)"/>
    <pivotHierarchy dragToData="1"/>
    <pivotHierarchy dragToData="1"/>
    <pivotHierarchy dragToData="1" caption="Average of Medicaid Enrollment Change (2013-2016)"/>
    <pivotHierarchy dragToData="1"/>
    <pivotHierarchy dragToData="1"/>
    <pivotHierarchy dragToData="1"/>
    <pivotHierarchy dragToData="1" caption="Average of Marketplace Health Insurance Coverage (2016)"/>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2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ealth Insurrance">
        <x15:activeTabTopLevelEntity name="[Health Insurra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FA17AB-6344-4274-8600-04C0C85A45A3}" autoFormatId="16" applyNumberFormats="0" applyBorderFormats="0" applyFontFormats="0" applyPatternFormats="0" applyAlignmentFormats="0" applyWidthHeightFormats="0">
  <queryTableRefresh nextId="16">
    <queryTableFields count="15">
      <queryTableField id="1" name="State" tableColumnId="1"/>
      <queryTableField id="2" name="Uninsured Rate (2010)" tableColumnId="2"/>
      <queryTableField id="3" name="Uninsured Rate (2015)" tableColumnId="3"/>
      <queryTableField id="4" name="Uninsured Rate Change (2010-2015)" tableColumnId="4"/>
      <queryTableField id="5" name="Health Insurance Coverage Change (2010-2015)" tableColumnId="5"/>
      <queryTableField id="6" name="Employer Health Insurance Coverage (2015)" tableColumnId="6"/>
      <queryTableField id="7" name="Marketplace Health Insurance Coverage (2016)" tableColumnId="7"/>
      <queryTableField id="8" name="Marketplace Tax Credits (2016)" tableColumnId="8"/>
      <queryTableField id="9" name="Average Monthly Tax Credit (2016)" tableColumnId="9"/>
      <queryTableField id="10" name="State Medicaid Expansion (2016)" tableColumnId="10"/>
      <queryTableField id="11" name="Medicaid expansion status" tableColumnId="11"/>
      <queryTableField id="12" name="Medicaid Enrollment (2013)" tableColumnId="12"/>
      <queryTableField id="13" name="Medicaid Enrollment (2016)" tableColumnId="13"/>
      <queryTableField id="14" name="Medicaid Enrollment Change (2013-2016)" tableColumnId="14"/>
      <queryTableField id="15" name="Medicare Enrollment (2016)" tableColumnId="15"/>
    </queryTableFields>
  </queryTableRefresh>
  <extLst>
    <ext xmlns:x15="http://schemas.microsoft.com/office/spreadsheetml/2010/11/main" uri="{883FBD77-0823-4a55-B5E3-86C4891E6966}">
      <x15:queryTable sourceDataName="Query - Health Insurranc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99E597A-5337-4830-A4A4-5C06934C8A0E}" sourceName="[Health Insurrance].[State]">
  <pivotTables>
    <pivotTable tabId="2" name="PivotTable6"/>
    <pivotTable tabId="2" name="PivotTable1"/>
    <pivotTable tabId="2" name="PivotTable2"/>
    <pivotTable tabId="2" name="PivotTable3"/>
    <pivotTable tabId="2" name="PivotTable4"/>
    <pivotTable tabId="2" name="PivotTable5"/>
    <pivotTable tabId="2" name="PivotTable7"/>
  </pivotTables>
  <data>
    <olap pivotCacheId="866637011">
      <levels count="2">
        <level uniqueName="[Health Insurrance].[State].[(All)]" sourceCaption="(All)" count="0"/>
        <level uniqueName="[Health Insurrance].[State].[State]" sourceCaption="State" count="51">
          <ranges>
            <range startItem="0">
              <i n="[Health Insurrance].[State].&amp;[Alabama]" c="Alabama"/>
              <i n="[Health Insurrance].[State].&amp;[Alaska]" c="Alaska"/>
              <i n="[Health Insurrance].[State].&amp;[Arizona]" c="Arizona"/>
              <i n="[Health Insurrance].[State].&amp;[Arkansas]" c="Arkansas"/>
              <i n="[Health Insurrance].[State].&amp;[California]" c="California"/>
              <i n="[Health Insurrance].[State].&amp;[Colorado]" c="Colorado"/>
              <i n="[Health Insurrance].[State].&amp;[Connecticut]" c="Connecticut"/>
              <i n="[Health Insurrance].[State].&amp;[Delaware]" c="Delaware"/>
              <i n="[Health Insurrance].[State].&amp;[District of Columbia]" c="District of Columbia"/>
              <i n="[Health Insurrance].[State].&amp;[Florida]" c="Florida"/>
              <i n="[Health Insurrance].[State].&amp;[Georgia]" c="Georgia"/>
              <i n="[Health Insurrance].[State].&amp;[Hawaii]" c="Hawaii"/>
              <i n="[Health Insurrance].[State].&amp;[Idaho]" c="Idaho"/>
              <i n="[Health Insurrance].[State].&amp;[Illinois]" c="Illinois"/>
              <i n="[Health Insurrance].[State].&amp;[Indiana]" c="Indiana"/>
              <i n="[Health Insurrance].[State].&amp;[Iowa]" c="Iowa"/>
              <i n="[Health Insurrance].[State].&amp;[Kansas]" c="Kansas"/>
              <i n="[Health Insurrance].[State].&amp;[Kentucky]" c="Kentucky"/>
              <i n="[Health Insurrance].[State].&amp;[Louisiana]" c="Louisiana"/>
              <i n="[Health Insurrance].[State].&amp;[Maine]" c="Maine"/>
              <i n="[Health Insurrance].[State].&amp;[Maryland]" c="Maryland"/>
              <i n="[Health Insurrance].[State].&amp;[Massachusetts]" c="Massachusetts"/>
              <i n="[Health Insurrance].[State].&amp;[Michigan]" c="Michigan"/>
              <i n="[Health Insurrance].[State].&amp;[Minnesota]" c="Minnesota"/>
              <i n="[Health Insurrance].[State].&amp;[Mississippi]" c="Mississippi"/>
              <i n="[Health Insurrance].[State].&amp;[Missouri]" c="Missouri"/>
              <i n="[Health Insurrance].[State].&amp;[Montana]" c="Montana"/>
              <i n="[Health Insurrance].[State].&amp;[Nebraska]" c="Nebraska"/>
              <i n="[Health Insurrance].[State].&amp;[Nevada]" c="Nevada"/>
              <i n="[Health Insurrance].[State].&amp;[New Hampshire]" c="New Hampshire"/>
              <i n="[Health Insurrance].[State].&amp;[New Jersey]" c="New Jersey"/>
              <i n="[Health Insurrance].[State].&amp;[New Mexico]" c="New Mexico"/>
              <i n="[Health Insurrance].[State].&amp;[New York]" c="New York"/>
              <i n="[Health Insurrance].[State].&amp;[North Carolina]" c="North Carolina"/>
              <i n="[Health Insurrance].[State].&amp;[North Dakota]" c="North Dakota"/>
              <i n="[Health Insurrance].[State].&amp;[Ohio]" c="Ohio"/>
              <i n="[Health Insurrance].[State].&amp;[Oklahoma]" c="Oklahoma"/>
              <i n="[Health Insurrance].[State].&amp;[Oregon]" c="Oregon"/>
              <i n="[Health Insurrance].[State].&amp;[Pennsylvania]" c="Pennsylvania"/>
              <i n="[Health Insurrance].[State].&amp;[Rhode Island]" c="Rhode Island"/>
              <i n="[Health Insurrance].[State].&amp;[South Carolina]" c="South Carolina"/>
              <i n="[Health Insurrance].[State].&amp;[South Dakota]" c="South Dakota"/>
              <i n="[Health Insurrance].[State].&amp;[Tennessee]" c="Tennessee"/>
              <i n="[Health Insurrance].[State].&amp;[Texas]" c="Texas"/>
              <i n="[Health Insurrance].[State].&amp;[Utah]" c="Utah"/>
              <i n="[Health Insurrance].[State].&amp;[Vermont]" c="Vermont"/>
              <i n="[Health Insurrance].[State].&amp;[Virginia]" c="Virginia"/>
              <i n="[Health Insurrance].[State].&amp;[Washington]" c="Washington"/>
              <i n="[Health Insurrance].[State].&amp;[West Virginia]" c="West Virginia"/>
              <i n="[Health Insurrance].[State].&amp;[Wisconsin]" c="Wisconsin"/>
              <i n="[Health Insurrance].[State].&amp;[Wyoming]" c="Wyoming"/>
            </range>
          </ranges>
        </level>
      </levels>
      <selections count="1">
        <selection n="[Health Insurrance].[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4DDB613-211D-4058-A7EA-C87AB7AFEC30}" cache="Slicer_State1" caption="State" level="1" rowHeight="247650"/>
  <slicer name="State" xr10:uid="{2FD872C7-6200-439F-AA1E-8BBBE24E0263}" cache="Slicer_State1" caption="STATE" columnCount="5" level="1"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A64B3742-0A87-4C3B-97A9-D8F9EA3A8D69}" cache="Slicer_State1" caption="STATE" startItem="30" columnCount="5"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EDC0C-92CE-4E68-A680-480F9356E7F7}" name="Health_Insurrance" displayName="Health_Insurrance" ref="A1:O53" tableType="queryTable" totalsRowShown="0">
  <autoFilter ref="A1:O53" xr:uid="{AC7EDC0C-92CE-4E68-A680-480F9356E7F7}"/>
  <tableColumns count="15">
    <tableColumn id="1" xr3:uid="{4D6E93EB-5910-4C6A-86BE-FA0DC8B5DA0F}" uniqueName="1" name="State" queryTableFieldId="1" dataDxfId="29"/>
    <tableColumn id="2" xr3:uid="{C9641B15-6EF0-40C1-9F21-215771EAC8E2}" uniqueName="2" name="Uninsured Rate (2010)" queryTableFieldId="2"/>
    <tableColumn id="3" xr3:uid="{3504A15C-F75F-4AC7-8EF4-BD13E411D43E}" uniqueName="3" name="Uninsured Rate (2015)" queryTableFieldId="3"/>
    <tableColumn id="4" xr3:uid="{99762B95-2C44-404F-9D7C-7968219DC11C}" uniqueName="4" name="Uninsured Rate Change (2010-2015)" queryTableFieldId="4"/>
    <tableColumn id="5" xr3:uid="{70438CB4-8F46-4656-BAD9-CB921CF05C1F}" uniqueName="5" name="Health Insurance Coverage Change (2010-2015)" queryTableFieldId="5" dataDxfId="28" dataCellStyle="Comma"/>
    <tableColumn id="6" xr3:uid="{2BE8C538-EDE2-422A-AA8C-768DD0539E54}" uniqueName="6" name="Employer Health Insurance Coverage (2015)" queryTableFieldId="6" dataDxfId="27" dataCellStyle="Comma"/>
    <tableColumn id="7" xr3:uid="{09FEAAF1-1AA4-477C-A06D-A5B97A10F47C}" uniqueName="7" name="Marketplace Health Insurance Coverage (2016)" queryTableFieldId="7" dataDxfId="26" dataCellStyle="Comma"/>
    <tableColumn id="8" xr3:uid="{56F0EA48-BED4-4ECA-BEAA-3E87226BD1E4}" uniqueName="8" name="Marketplace Tax Credits (2016)" queryTableFieldId="8" dataDxfId="25" dataCellStyle="Comma"/>
    <tableColumn id="9" xr3:uid="{77D35D1E-B6D1-43A5-A24B-506C429D07B1}" uniqueName="9" name="Average Monthly Tax Credit (2016)" queryTableFieldId="9" dataDxfId="24" dataCellStyle="Currency"/>
    <tableColumn id="10" xr3:uid="{446F4689-EC27-479A-BDAB-9960A458516F}" uniqueName="10" name="State Medicaid Expansion (2016)" queryTableFieldId="10"/>
    <tableColumn id="11" xr3:uid="{12F7DA7F-8AA0-40D9-B619-1498B26E51F0}" uniqueName="11" name="Medicaid expansion status" queryTableFieldId="11"/>
    <tableColumn id="12" xr3:uid="{0D2C009D-90F3-4368-A6C6-756ABD2345DD}" uniqueName="12" name="Medicaid Enrollment (2013)" queryTableFieldId="12" dataDxfId="23" dataCellStyle="Comma"/>
    <tableColumn id="13" xr3:uid="{644EE719-5BF3-4C4C-928A-EF67930CC4F3}" uniqueName="13" name="Medicaid Enrollment (2016)" queryTableFieldId="13" dataDxfId="22" dataCellStyle="Comma"/>
    <tableColumn id="14" xr3:uid="{7F74A63E-7C0E-4BAB-8D9B-BE5ED0D71664}" uniqueName="14" name="Medicaid Enrollment Change (2013-2016)" queryTableFieldId="14" dataDxfId="21" dataCellStyle="Comma"/>
    <tableColumn id="15" xr3:uid="{0DB43D3F-45DB-479D-969B-9CEE2B14E74C}" uniqueName="15" name="Medicare Enrollment (2016)" queryTableFieldId="15" dataDxfId="2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281E-38FA-4CEA-B9D8-02FF2FA26FE4}">
  <dimension ref="A1:O55"/>
  <sheetViews>
    <sheetView topLeftCell="J1" zoomScale="91" workbookViewId="0">
      <selection activeCell="N54" sqref="N54"/>
    </sheetView>
  </sheetViews>
  <sheetFormatPr defaultRowHeight="14.4" x14ac:dyDescent="0.3"/>
  <cols>
    <col min="1" max="1" width="16.77734375" bestFit="1" customWidth="1"/>
    <col min="2" max="3" width="22.5546875" bestFit="1" customWidth="1"/>
    <col min="4" max="4" width="42.21875" bestFit="1" customWidth="1"/>
    <col min="5" max="5" width="42.77734375" style="6" bestFit="1" customWidth="1"/>
    <col min="6" max="6" width="45.109375" style="6" bestFit="1" customWidth="1"/>
    <col min="7" max="7" width="47.5546875" style="6" bestFit="1" customWidth="1"/>
    <col min="8" max="8" width="29.33203125" style="6" bestFit="1" customWidth="1"/>
    <col min="9" max="9" width="31.44140625" style="9" bestFit="1" customWidth="1"/>
    <col min="10" max="10" width="30.6640625" bestFit="1" customWidth="1"/>
    <col min="11" max="11" width="25.5546875" bestFit="1" customWidth="1"/>
    <col min="12" max="13" width="26.44140625" style="6" bestFit="1" customWidth="1"/>
    <col min="14" max="14" width="49.109375" style="6" bestFit="1" customWidth="1"/>
    <col min="15" max="15" width="28.21875" style="6" bestFit="1" customWidth="1"/>
  </cols>
  <sheetData>
    <row r="1" spans="1:15" x14ac:dyDescent="0.3">
      <c r="A1" t="s">
        <v>52</v>
      </c>
      <c r="B1" t="s">
        <v>65</v>
      </c>
      <c r="C1" t="s">
        <v>66</v>
      </c>
      <c r="D1" t="s">
        <v>67</v>
      </c>
      <c r="E1" s="6" t="s">
        <v>68</v>
      </c>
      <c r="F1" s="6" t="s">
        <v>69</v>
      </c>
      <c r="G1" s="6" t="s">
        <v>70</v>
      </c>
      <c r="H1" s="6" t="s">
        <v>71</v>
      </c>
      <c r="I1" s="9" t="s">
        <v>72</v>
      </c>
      <c r="J1" t="s">
        <v>73</v>
      </c>
      <c r="K1" t="s">
        <v>74</v>
      </c>
      <c r="L1" s="6" t="s">
        <v>75</v>
      </c>
      <c r="M1" s="6" t="s">
        <v>76</v>
      </c>
      <c r="N1" s="6" t="s">
        <v>77</v>
      </c>
      <c r="O1" s="6" t="s">
        <v>78</v>
      </c>
    </row>
    <row r="2" spans="1:15" x14ac:dyDescent="0.3">
      <c r="A2" t="s">
        <v>0</v>
      </c>
      <c r="B2">
        <v>0.14599999999999999</v>
      </c>
      <c r="C2">
        <v>0.10100000000000001</v>
      </c>
      <c r="D2">
        <v>4.4999999999999998E-2</v>
      </c>
      <c r="E2" s="6">
        <v>215000</v>
      </c>
      <c r="F2" s="6">
        <v>2545000</v>
      </c>
      <c r="G2" s="6">
        <v>165534</v>
      </c>
      <c r="H2" s="6">
        <v>152206</v>
      </c>
      <c r="I2" s="9">
        <v>310</v>
      </c>
      <c r="J2" t="b">
        <v>0</v>
      </c>
      <c r="K2" t="s">
        <v>61</v>
      </c>
      <c r="L2" s="6">
        <v>799176</v>
      </c>
      <c r="M2" s="6">
        <v>910775</v>
      </c>
      <c r="N2" s="6">
        <v>111599</v>
      </c>
      <c r="O2" s="6">
        <v>989855</v>
      </c>
    </row>
    <row r="3" spans="1:15" x14ac:dyDescent="0.3">
      <c r="A3" t="s">
        <v>1</v>
      </c>
      <c r="B3">
        <v>0.19900000000000001</v>
      </c>
      <c r="C3">
        <v>0.14899999999999999</v>
      </c>
      <c r="D3">
        <v>0.05</v>
      </c>
      <c r="E3" s="6">
        <v>36000</v>
      </c>
      <c r="F3" s="6">
        <v>390000</v>
      </c>
      <c r="G3" s="6">
        <v>17995</v>
      </c>
      <c r="H3" s="6">
        <v>16205</v>
      </c>
      <c r="I3" s="9">
        <v>750</v>
      </c>
      <c r="J3" t="b">
        <v>1</v>
      </c>
      <c r="K3" t="s">
        <v>62</v>
      </c>
      <c r="L3" s="6">
        <v>122334</v>
      </c>
      <c r="M3" s="6">
        <v>166625</v>
      </c>
      <c r="N3" s="6">
        <v>44291</v>
      </c>
      <c r="O3" s="6">
        <v>88966</v>
      </c>
    </row>
    <row r="4" spans="1:15" x14ac:dyDescent="0.3">
      <c r="A4" t="s">
        <v>2</v>
      </c>
      <c r="B4">
        <v>0.16900000000000001</v>
      </c>
      <c r="C4">
        <v>0.108</v>
      </c>
      <c r="D4">
        <v>6.0999999999999999E-2</v>
      </c>
      <c r="E4" s="6">
        <v>410000</v>
      </c>
      <c r="F4" s="6">
        <v>3288000</v>
      </c>
      <c r="G4" s="6">
        <v>179445</v>
      </c>
      <c r="H4" s="6">
        <v>124346</v>
      </c>
      <c r="I4" s="9">
        <v>230</v>
      </c>
      <c r="J4" t="b">
        <v>1</v>
      </c>
      <c r="K4" t="s">
        <v>62</v>
      </c>
      <c r="L4" s="6">
        <v>1201770</v>
      </c>
      <c r="M4" s="6">
        <v>1716198</v>
      </c>
      <c r="N4" s="6">
        <v>514428</v>
      </c>
      <c r="O4" s="6">
        <v>1175624</v>
      </c>
    </row>
    <row r="5" spans="1:15" x14ac:dyDescent="0.3">
      <c r="A5" t="s">
        <v>3</v>
      </c>
      <c r="B5">
        <v>0.17499999999999999</v>
      </c>
      <c r="C5">
        <v>9.5000000000000001E-2</v>
      </c>
      <c r="D5">
        <v>0.08</v>
      </c>
      <c r="E5" s="6">
        <v>234000</v>
      </c>
      <c r="F5" s="6">
        <v>1365000</v>
      </c>
      <c r="G5" s="6">
        <v>63357</v>
      </c>
      <c r="H5" s="6">
        <v>56843</v>
      </c>
      <c r="I5" s="9">
        <v>306</v>
      </c>
      <c r="J5" t="b">
        <v>1</v>
      </c>
      <c r="K5" t="s">
        <v>62</v>
      </c>
      <c r="L5" s="6">
        <v>556851</v>
      </c>
      <c r="M5" s="6">
        <v>920194</v>
      </c>
      <c r="N5" s="6">
        <v>363343</v>
      </c>
      <c r="O5" s="6">
        <v>606146</v>
      </c>
    </row>
    <row r="6" spans="1:15" x14ac:dyDescent="0.3">
      <c r="A6" t="s">
        <v>4</v>
      </c>
      <c r="B6">
        <v>0.185</v>
      </c>
      <c r="C6">
        <v>8.5999999999999993E-2</v>
      </c>
      <c r="D6">
        <v>9.9000000000000005E-2</v>
      </c>
      <c r="E6" s="6">
        <v>3826000</v>
      </c>
      <c r="F6" s="6">
        <v>19552000</v>
      </c>
      <c r="G6" s="6">
        <v>1415428</v>
      </c>
      <c r="H6" s="6">
        <v>1239893</v>
      </c>
      <c r="I6" s="9">
        <v>309</v>
      </c>
      <c r="J6" t="b">
        <v>1</v>
      </c>
      <c r="K6" t="s">
        <v>62</v>
      </c>
      <c r="L6" s="6">
        <v>7755381</v>
      </c>
      <c r="M6" s="6">
        <v>11843081</v>
      </c>
      <c r="N6" s="6">
        <v>4087700</v>
      </c>
      <c r="O6" s="6">
        <v>5829777</v>
      </c>
    </row>
    <row r="7" spans="1:15" x14ac:dyDescent="0.3">
      <c r="A7" t="s">
        <v>5</v>
      </c>
      <c r="B7">
        <v>0.159</v>
      </c>
      <c r="C7">
        <v>8.1000000000000003E-2</v>
      </c>
      <c r="D7">
        <v>7.8E-2</v>
      </c>
      <c r="E7" s="6">
        <v>419000</v>
      </c>
      <c r="F7" s="6">
        <v>2949000</v>
      </c>
      <c r="G7" s="6">
        <v>108311</v>
      </c>
      <c r="H7" s="6">
        <v>67062</v>
      </c>
      <c r="I7" s="9">
        <v>318</v>
      </c>
      <c r="J7" t="b">
        <v>1</v>
      </c>
      <c r="K7" t="s">
        <v>62</v>
      </c>
      <c r="L7" s="6">
        <v>783420</v>
      </c>
      <c r="M7" s="6">
        <v>1375264</v>
      </c>
      <c r="N7" s="6">
        <v>591844</v>
      </c>
      <c r="O7" s="6">
        <v>820234</v>
      </c>
    </row>
    <row r="8" spans="1:15" x14ac:dyDescent="0.3">
      <c r="A8" t="s">
        <v>6</v>
      </c>
      <c r="B8">
        <v>9.0999999999999998E-2</v>
      </c>
      <c r="C8">
        <v>0.06</v>
      </c>
      <c r="D8">
        <v>3.1E-2</v>
      </c>
      <c r="E8" s="6">
        <v>110000</v>
      </c>
      <c r="F8" s="6">
        <v>2148000</v>
      </c>
      <c r="G8" s="6">
        <v>102917</v>
      </c>
      <c r="H8" s="6">
        <v>80759</v>
      </c>
      <c r="I8" s="9">
        <v>357</v>
      </c>
      <c r="J8" t="b">
        <v>1</v>
      </c>
      <c r="K8" t="s">
        <v>62</v>
      </c>
      <c r="L8" s="6">
        <v>0</v>
      </c>
      <c r="M8" s="6">
        <v>761137</v>
      </c>
      <c r="N8" s="6">
        <v>761137</v>
      </c>
      <c r="O8" s="6">
        <v>644136</v>
      </c>
    </row>
    <row r="9" spans="1:15" x14ac:dyDescent="0.3">
      <c r="A9" t="s">
        <v>7</v>
      </c>
      <c r="B9">
        <v>9.7000000000000003E-2</v>
      </c>
      <c r="C9">
        <v>5.8999999999999997E-2</v>
      </c>
      <c r="D9">
        <v>3.7999999999999999E-2</v>
      </c>
      <c r="E9" s="6">
        <v>35000</v>
      </c>
      <c r="F9" s="6">
        <v>564000</v>
      </c>
      <c r="G9" s="6">
        <v>25379</v>
      </c>
      <c r="H9" s="6">
        <v>21467</v>
      </c>
      <c r="I9" s="9">
        <v>330</v>
      </c>
      <c r="J9" t="b">
        <v>1</v>
      </c>
      <c r="K9" t="s">
        <v>62</v>
      </c>
      <c r="L9" s="6">
        <v>223324</v>
      </c>
      <c r="M9" s="6">
        <v>236702</v>
      </c>
      <c r="N9" s="6">
        <v>13378</v>
      </c>
      <c r="O9" s="6">
        <v>186835</v>
      </c>
    </row>
    <row r="10" spans="1:15" x14ac:dyDescent="0.3">
      <c r="A10" t="s">
        <v>8</v>
      </c>
      <c r="B10">
        <v>7.5999999999999998E-2</v>
      </c>
      <c r="C10">
        <v>3.7999999999999999E-2</v>
      </c>
      <c r="D10">
        <v>3.7999999999999999E-2</v>
      </c>
      <c r="E10" s="6">
        <v>25000</v>
      </c>
      <c r="F10" s="6">
        <v>388000</v>
      </c>
      <c r="G10" s="6">
        <v>17666</v>
      </c>
      <c r="H10" s="6">
        <v>1224</v>
      </c>
      <c r="I10" s="9">
        <v>183</v>
      </c>
      <c r="J10" t="b">
        <v>1</v>
      </c>
      <c r="K10" t="s">
        <v>62</v>
      </c>
      <c r="L10" s="6">
        <v>235786</v>
      </c>
      <c r="M10" s="6">
        <v>255491</v>
      </c>
      <c r="N10" s="6">
        <v>19705</v>
      </c>
      <c r="O10" s="6">
        <v>90492</v>
      </c>
    </row>
    <row r="11" spans="1:15" x14ac:dyDescent="0.3">
      <c r="A11" t="s">
        <v>9</v>
      </c>
      <c r="B11">
        <v>0.21299999999999999</v>
      </c>
      <c r="C11">
        <v>0.13300000000000001</v>
      </c>
      <c r="D11">
        <v>0.08</v>
      </c>
      <c r="E11" s="6">
        <v>1597000</v>
      </c>
      <c r="F11" s="6">
        <v>8847000</v>
      </c>
      <c r="G11" s="6">
        <v>1531714</v>
      </c>
      <c r="H11" s="6">
        <v>1428712</v>
      </c>
      <c r="I11" s="9">
        <v>305</v>
      </c>
      <c r="J11" t="b">
        <v>0</v>
      </c>
      <c r="K11" t="s">
        <v>61</v>
      </c>
      <c r="L11" s="6">
        <v>3104996</v>
      </c>
      <c r="M11" s="6">
        <v>3644673</v>
      </c>
      <c r="N11" s="6">
        <v>539677</v>
      </c>
      <c r="O11" s="6">
        <v>4149593</v>
      </c>
    </row>
    <row r="12" spans="1:15" x14ac:dyDescent="0.3">
      <c r="A12" t="s">
        <v>10</v>
      </c>
      <c r="B12">
        <v>0.19700000000000001</v>
      </c>
      <c r="C12">
        <v>0.13900000000000001</v>
      </c>
      <c r="D12">
        <v>5.8000000000000003E-2</v>
      </c>
      <c r="E12" s="6">
        <v>581000</v>
      </c>
      <c r="F12" s="6">
        <v>5240000</v>
      </c>
      <c r="G12" s="6">
        <v>478016</v>
      </c>
      <c r="H12" s="6">
        <v>427353</v>
      </c>
      <c r="I12" s="9">
        <v>291</v>
      </c>
      <c r="J12" t="b">
        <v>0</v>
      </c>
      <c r="K12" t="s">
        <v>61</v>
      </c>
      <c r="L12" s="6">
        <v>1535090</v>
      </c>
      <c r="M12" s="6">
        <v>1782301</v>
      </c>
      <c r="N12" s="6">
        <v>247211</v>
      </c>
      <c r="O12" s="6">
        <v>1574058</v>
      </c>
    </row>
    <row r="13" spans="1:15" x14ac:dyDescent="0.3">
      <c r="A13" t="s">
        <v>11</v>
      </c>
      <c r="B13">
        <v>7.9000000000000001E-2</v>
      </c>
      <c r="C13">
        <v>0.04</v>
      </c>
      <c r="D13">
        <v>3.9E-2</v>
      </c>
      <c r="E13" s="6">
        <v>54000</v>
      </c>
      <c r="F13" s="6">
        <v>867000</v>
      </c>
      <c r="G13" s="6">
        <v>13313</v>
      </c>
      <c r="H13" s="6">
        <v>10958</v>
      </c>
      <c r="I13" s="9">
        <v>270</v>
      </c>
      <c r="J13" t="b">
        <v>1</v>
      </c>
      <c r="K13" t="s">
        <v>62</v>
      </c>
      <c r="L13" s="6">
        <v>288357</v>
      </c>
      <c r="M13" s="6">
        <v>341200</v>
      </c>
      <c r="N13" s="6">
        <v>52843</v>
      </c>
      <c r="O13" s="6">
        <v>252514</v>
      </c>
    </row>
    <row r="14" spans="1:15" x14ac:dyDescent="0.3">
      <c r="A14" t="s">
        <v>12</v>
      </c>
      <c r="B14">
        <v>0.17699999999999999</v>
      </c>
      <c r="C14">
        <v>0.11</v>
      </c>
      <c r="D14">
        <v>6.7000000000000004E-2</v>
      </c>
      <c r="E14" s="6">
        <v>109000</v>
      </c>
      <c r="F14" s="6">
        <v>836000</v>
      </c>
      <c r="G14" s="6">
        <v>94270</v>
      </c>
      <c r="H14" s="6">
        <v>82802</v>
      </c>
      <c r="I14" s="9">
        <v>265</v>
      </c>
      <c r="J14" t="b">
        <v>0</v>
      </c>
      <c r="K14" t="s">
        <v>61</v>
      </c>
      <c r="L14" s="6">
        <v>238150</v>
      </c>
      <c r="M14" s="6">
        <v>293905</v>
      </c>
      <c r="N14" s="6">
        <v>55755</v>
      </c>
      <c r="O14" s="6">
        <v>294284</v>
      </c>
    </row>
    <row r="15" spans="1:15" x14ac:dyDescent="0.3">
      <c r="A15" t="s">
        <v>13</v>
      </c>
      <c r="B15">
        <v>0.13800000000000001</v>
      </c>
      <c r="C15">
        <v>7.0999999999999994E-2</v>
      </c>
      <c r="D15">
        <v>6.7000000000000004E-2</v>
      </c>
      <c r="E15" s="6">
        <v>850000</v>
      </c>
      <c r="F15" s="6">
        <v>7359000</v>
      </c>
      <c r="G15" s="6">
        <v>335243</v>
      </c>
      <c r="H15" s="6">
        <v>259701</v>
      </c>
      <c r="I15" s="9">
        <v>237</v>
      </c>
      <c r="J15" t="b">
        <v>1</v>
      </c>
      <c r="K15" t="s">
        <v>62</v>
      </c>
      <c r="L15" s="6">
        <v>2626943</v>
      </c>
      <c r="M15" s="6">
        <v>3117939</v>
      </c>
      <c r="N15" s="6">
        <v>490996</v>
      </c>
      <c r="O15" s="6">
        <v>2118300</v>
      </c>
    </row>
    <row r="16" spans="1:15" x14ac:dyDescent="0.3">
      <c r="A16" t="s">
        <v>14</v>
      </c>
      <c r="B16">
        <v>0.14799999999999999</v>
      </c>
      <c r="C16">
        <v>9.6000000000000002E-2</v>
      </c>
      <c r="D16">
        <v>5.1999999999999998E-2</v>
      </c>
      <c r="E16" s="6">
        <v>339000</v>
      </c>
      <c r="F16" s="6">
        <v>3825000</v>
      </c>
      <c r="G16" s="6">
        <v>168884</v>
      </c>
      <c r="H16" s="6">
        <v>139437</v>
      </c>
      <c r="I16" s="9">
        <v>259</v>
      </c>
      <c r="J16" t="b">
        <v>1</v>
      </c>
      <c r="K16" t="s">
        <v>62</v>
      </c>
      <c r="L16" s="6">
        <v>1120674</v>
      </c>
      <c r="M16" s="6">
        <v>1489805</v>
      </c>
      <c r="N16" s="6">
        <v>369131</v>
      </c>
      <c r="O16" s="6">
        <v>1181014</v>
      </c>
    </row>
    <row r="17" spans="1:15" x14ac:dyDescent="0.3">
      <c r="A17" t="s">
        <v>15</v>
      </c>
      <c r="B17">
        <v>9.2999999999999999E-2</v>
      </c>
      <c r="C17">
        <v>0.05</v>
      </c>
      <c r="D17">
        <v>4.2999999999999997E-2</v>
      </c>
      <c r="E17" s="6">
        <v>132000</v>
      </c>
      <c r="F17" s="6">
        <v>1862000</v>
      </c>
      <c r="G17" s="6">
        <v>48949</v>
      </c>
      <c r="H17" s="6">
        <v>42595</v>
      </c>
      <c r="I17" s="9">
        <v>307</v>
      </c>
      <c r="J17" t="b">
        <v>1</v>
      </c>
      <c r="K17" t="s">
        <v>62</v>
      </c>
      <c r="L17" s="6">
        <v>493515</v>
      </c>
      <c r="M17" s="6">
        <v>619055</v>
      </c>
      <c r="N17" s="6">
        <v>125540</v>
      </c>
      <c r="O17" s="6">
        <v>587780</v>
      </c>
    </row>
    <row r="18" spans="1:15" x14ac:dyDescent="0.3">
      <c r="A18" t="s">
        <v>16</v>
      </c>
      <c r="B18">
        <v>0.13900000000000001</v>
      </c>
      <c r="C18">
        <v>9.0999999999999998E-2</v>
      </c>
      <c r="D18">
        <v>4.8000000000000001E-2</v>
      </c>
      <c r="E18" s="6">
        <v>137000</v>
      </c>
      <c r="F18" s="6">
        <v>1659000</v>
      </c>
      <c r="G18" s="6">
        <v>89566</v>
      </c>
      <c r="H18" s="6">
        <v>75815</v>
      </c>
      <c r="I18" s="9">
        <v>247</v>
      </c>
      <c r="J18" t="b">
        <v>0</v>
      </c>
      <c r="K18" t="s">
        <v>61</v>
      </c>
      <c r="L18" s="6">
        <v>378160</v>
      </c>
      <c r="M18" s="6">
        <v>421638</v>
      </c>
      <c r="N18" s="6">
        <v>43478</v>
      </c>
      <c r="O18" s="6">
        <v>499753</v>
      </c>
    </row>
    <row r="19" spans="1:15" x14ac:dyDescent="0.3">
      <c r="A19" t="s">
        <v>17</v>
      </c>
      <c r="B19">
        <v>0.153</v>
      </c>
      <c r="C19">
        <v>0.06</v>
      </c>
      <c r="D19">
        <v>9.2999999999999999E-2</v>
      </c>
      <c r="E19" s="6">
        <v>404000</v>
      </c>
      <c r="F19" s="6">
        <v>2316000</v>
      </c>
      <c r="G19" s="6">
        <v>74640</v>
      </c>
      <c r="H19" s="6">
        <v>56488</v>
      </c>
      <c r="I19" s="9">
        <v>258</v>
      </c>
      <c r="J19" t="b">
        <v>1</v>
      </c>
      <c r="K19" t="s">
        <v>62</v>
      </c>
      <c r="L19" s="6">
        <v>606805</v>
      </c>
      <c r="M19" s="6">
        <v>1220788</v>
      </c>
      <c r="N19" s="6">
        <v>613983</v>
      </c>
      <c r="O19" s="6">
        <v>881938</v>
      </c>
    </row>
    <row r="20" spans="1:15" x14ac:dyDescent="0.3">
      <c r="A20" t="s">
        <v>18</v>
      </c>
      <c r="B20">
        <v>0.17799999999999999</v>
      </c>
      <c r="C20">
        <v>0.11899999999999999</v>
      </c>
      <c r="D20">
        <v>5.8999999999999997E-2</v>
      </c>
      <c r="E20" s="6">
        <v>269000</v>
      </c>
      <c r="F20" s="6">
        <v>2295000</v>
      </c>
      <c r="G20" s="6">
        <v>184403</v>
      </c>
      <c r="H20" s="6">
        <v>170806</v>
      </c>
      <c r="I20" s="9">
        <v>362</v>
      </c>
      <c r="J20" t="b">
        <v>1</v>
      </c>
      <c r="K20" t="s">
        <v>62</v>
      </c>
      <c r="L20" s="6">
        <v>1019787</v>
      </c>
      <c r="M20" s="6">
        <v>1328708</v>
      </c>
      <c r="N20" s="6">
        <v>308921</v>
      </c>
      <c r="O20" s="6">
        <v>817272</v>
      </c>
    </row>
    <row r="21" spans="1:15" x14ac:dyDescent="0.3">
      <c r="A21" t="s">
        <v>19</v>
      </c>
      <c r="B21">
        <v>0.10100000000000001</v>
      </c>
      <c r="C21">
        <v>8.4000000000000005E-2</v>
      </c>
      <c r="D21">
        <v>1.7000000000000001E-2</v>
      </c>
      <c r="E21" s="6">
        <v>22000</v>
      </c>
      <c r="F21" s="6">
        <v>702000</v>
      </c>
      <c r="G21" s="6">
        <v>75240</v>
      </c>
      <c r="H21" s="6">
        <v>63896</v>
      </c>
      <c r="I21" s="9">
        <v>342</v>
      </c>
      <c r="J21" t="b">
        <v>0</v>
      </c>
      <c r="K21" t="s">
        <v>61</v>
      </c>
      <c r="L21" s="6">
        <v>0</v>
      </c>
      <c r="M21" s="6">
        <v>273160</v>
      </c>
      <c r="N21" s="6">
        <v>273160</v>
      </c>
      <c r="O21" s="6">
        <v>315160</v>
      </c>
    </row>
    <row r="22" spans="1:15" x14ac:dyDescent="0.3">
      <c r="A22" t="s">
        <v>20</v>
      </c>
      <c r="B22">
        <v>0.113</v>
      </c>
      <c r="C22">
        <v>6.6000000000000003E-2</v>
      </c>
      <c r="D22">
        <v>4.7E-2</v>
      </c>
      <c r="E22" s="6">
        <v>278000</v>
      </c>
      <c r="F22" s="6">
        <v>3700000</v>
      </c>
      <c r="G22" s="6">
        <v>135208</v>
      </c>
      <c r="H22" s="6">
        <v>100844</v>
      </c>
      <c r="I22" s="9">
        <v>243</v>
      </c>
      <c r="J22" t="b">
        <v>1</v>
      </c>
      <c r="K22" t="s">
        <v>62</v>
      </c>
      <c r="L22" s="6">
        <v>856297</v>
      </c>
      <c r="M22" s="6">
        <v>1252304</v>
      </c>
      <c r="N22" s="6">
        <v>396007</v>
      </c>
      <c r="O22" s="6">
        <v>960848</v>
      </c>
    </row>
    <row r="23" spans="1:15" x14ac:dyDescent="0.3">
      <c r="A23" t="s">
        <v>21</v>
      </c>
      <c r="B23">
        <v>4.3999999999999997E-2</v>
      </c>
      <c r="C23">
        <v>2.8000000000000001E-2</v>
      </c>
      <c r="D23">
        <v>1.6E-2</v>
      </c>
      <c r="E23" s="6">
        <v>107000</v>
      </c>
      <c r="F23" s="6">
        <v>4232000</v>
      </c>
      <c r="G23" s="6">
        <v>207121</v>
      </c>
      <c r="H23" s="6">
        <v>157751</v>
      </c>
      <c r="I23" s="9">
        <v>190</v>
      </c>
      <c r="J23" t="b">
        <v>1</v>
      </c>
      <c r="K23" t="s">
        <v>62</v>
      </c>
      <c r="L23" s="6">
        <v>1296359</v>
      </c>
      <c r="M23" s="6">
        <v>1684328</v>
      </c>
      <c r="N23" s="6">
        <v>387969</v>
      </c>
      <c r="O23" s="6">
        <v>1252277</v>
      </c>
    </row>
    <row r="24" spans="1:15" x14ac:dyDescent="0.3">
      <c r="A24" t="s">
        <v>22</v>
      </c>
      <c r="B24">
        <v>0.124</v>
      </c>
      <c r="C24">
        <v>6.0999999999999999E-2</v>
      </c>
      <c r="D24">
        <v>6.3E-2</v>
      </c>
      <c r="E24" s="6">
        <v>618000</v>
      </c>
      <c r="F24" s="6">
        <v>5876000</v>
      </c>
      <c r="G24" s="6">
        <v>313123</v>
      </c>
      <c r="H24" s="6">
        <v>275080</v>
      </c>
      <c r="I24" s="9">
        <v>233</v>
      </c>
      <c r="J24" t="b">
        <v>1</v>
      </c>
      <c r="K24" t="s">
        <v>62</v>
      </c>
      <c r="L24" s="6">
        <v>1912009</v>
      </c>
      <c r="M24" s="6">
        <v>2300958</v>
      </c>
      <c r="N24" s="6">
        <v>388949</v>
      </c>
      <c r="O24" s="6">
        <v>1947787</v>
      </c>
    </row>
    <row r="25" spans="1:15" x14ac:dyDescent="0.3">
      <c r="A25" t="s">
        <v>23</v>
      </c>
      <c r="B25">
        <v>9.0999999999999998E-2</v>
      </c>
      <c r="C25">
        <v>4.4999999999999998E-2</v>
      </c>
      <c r="D25">
        <v>4.5999999999999999E-2</v>
      </c>
      <c r="E25" s="6">
        <v>250000</v>
      </c>
      <c r="F25" s="6">
        <v>3319000</v>
      </c>
      <c r="G25" s="6">
        <v>74060</v>
      </c>
      <c r="H25" s="6">
        <v>47266</v>
      </c>
      <c r="I25" s="9">
        <v>203</v>
      </c>
      <c r="J25" t="b">
        <v>1</v>
      </c>
      <c r="K25" t="s">
        <v>62</v>
      </c>
      <c r="L25" s="6">
        <v>873040</v>
      </c>
      <c r="M25" s="6">
        <v>1051509</v>
      </c>
      <c r="N25" s="6">
        <v>178469</v>
      </c>
      <c r="O25" s="6">
        <v>944222</v>
      </c>
    </row>
    <row r="26" spans="1:15" x14ac:dyDescent="0.3">
      <c r="A26" t="s">
        <v>24</v>
      </c>
      <c r="B26">
        <v>0.182</v>
      </c>
      <c r="C26">
        <v>0.127</v>
      </c>
      <c r="D26">
        <v>5.5E-2</v>
      </c>
      <c r="E26" s="6">
        <v>161000</v>
      </c>
      <c r="F26" s="6">
        <v>1326000</v>
      </c>
      <c r="G26" s="6">
        <v>77747</v>
      </c>
      <c r="H26" s="6">
        <v>73246</v>
      </c>
      <c r="I26" s="9">
        <v>306</v>
      </c>
      <c r="J26" t="b">
        <v>0</v>
      </c>
      <c r="K26" t="s">
        <v>61</v>
      </c>
      <c r="L26" s="6">
        <v>637229</v>
      </c>
      <c r="M26" s="6">
        <v>693869</v>
      </c>
      <c r="N26" s="6">
        <v>56640</v>
      </c>
      <c r="O26" s="6">
        <v>571699</v>
      </c>
    </row>
    <row r="27" spans="1:15" x14ac:dyDescent="0.3">
      <c r="A27" t="s">
        <v>25</v>
      </c>
      <c r="B27">
        <v>0.13200000000000001</v>
      </c>
      <c r="C27">
        <v>9.8000000000000004E-2</v>
      </c>
      <c r="D27">
        <v>3.4000000000000002E-2</v>
      </c>
      <c r="E27" s="6">
        <v>203000</v>
      </c>
      <c r="F27" s="6">
        <v>3389000</v>
      </c>
      <c r="G27" s="6">
        <v>252044</v>
      </c>
      <c r="H27" s="6">
        <v>225878</v>
      </c>
      <c r="I27" s="9">
        <v>315</v>
      </c>
      <c r="J27" t="b">
        <v>0</v>
      </c>
      <c r="K27" t="s">
        <v>61</v>
      </c>
      <c r="L27" s="6">
        <v>846084</v>
      </c>
      <c r="M27" s="6">
        <v>967284</v>
      </c>
      <c r="N27" s="6">
        <v>121200</v>
      </c>
      <c r="O27" s="6">
        <v>1163543</v>
      </c>
    </row>
    <row r="28" spans="1:15" x14ac:dyDescent="0.3">
      <c r="A28" t="s">
        <v>26</v>
      </c>
      <c r="B28">
        <v>0.17299999999999999</v>
      </c>
      <c r="C28">
        <v>0.11600000000000001</v>
      </c>
      <c r="D28">
        <v>5.7000000000000002E-2</v>
      </c>
      <c r="E28" s="6">
        <v>58000</v>
      </c>
      <c r="F28" s="6">
        <v>510000</v>
      </c>
      <c r="G28" s="6">
        <v>51758</v>
      </c>
      <c r="H28" s="6">
        <v>44091</v>
      </c>
      <c r="I28" s="9">
        <v>306</v>
      </c>
      <c r="J28" t="b">
        <v>1</v>
      </c>
      <c r="K28" t="s">
        <v>62</v>
      </c>
      <c r="L28" s="6">
        <v>148974</v>
      </c>
      <c r="M28" s="6">
        <v>224048</v>
      </c>
      <c r="N28" s="6">
        <v>75074</v>
      </c>
      <c r="O28" s="6">
        <v>209389</v>
      </c>
    </row>
    <row r="29" spans="1:15" x14ac:dyDescent="0.3">
      <c r="A29" t="s">
        <v>27</v>
      </c>
      <c r="B29">
        <v>0.115</v>
      </c>
      <c r="C29">
        <v>8.2000000000000003E-2</v>
      </c>
      <c r="D29">
        <v>3.3000000000000002E-2</v>
      </c>
      <c r="E29" s="6">
        <v>62000</v>
      </c>
      <c r="F29" s="6">
        <v>1100000</v>
      </c>
      <c r="G29" s="6">
        <v>80213</v>
      </c>
      <c r="H29" s="6">
        <v>72091</v>
      </c>
      <c r="I29" s="9">
        <v>296</v>
      </c>
      <c r="J29" t="b">
        <v>0</v>
      </c>
      <c r="K29" t="s">
        <v>61</v>
      </c>
      <c r="L29" s="6">
        <v>244600</v>
      </c>
      <c r="M29" s="6">
        <v>242702</v>
      </c>
      <c r="N29" s="6">
        <v>-1898</v>
      </c>
      <c r="O29" s="6">
        <v>322796</v>
      </c>
    </row>
    <row r="30" spans="1:15" x14ac:dyDescent="0.3">
      <c r="A30" t="s">
        <v>28</v>
      </c>
      <c r="B30">
        <v>0.22600000000000001</v>
      </c>
      <c r="C30">
        <v>0.123</v>
      </c>
      <c r="D30">
        <v>0.10299999999999999</v>
      </c>
      <c r="E30" s="6">
        <v>294000</v>
      </c>
      <c r="F30" s="6">
        <v>1505000</v>
      </c>
      <c r="G30" s="6">
        <v>79876</v>
      </c>
      <c r="H30" s="6">
        <v>71472</v>
      </c>
      <c r="I30" s="9">
        <v>268</v>
      </c>
      <c r="J30" t="b">
        <v>1</v>
      </c>
      <c r="K30" t="s">
        <v>62</v>
      </c>
      <c r="L30" s="6">
        <v>332560</v>
      </c>
      <c r="M30" s="6">
        <v>614298</v>
      </c>
      <c r="N30" s="6">
        <v>281738</v>
      </c>
      <c r="O30" s="6">
        <v>471747</v>
      </c>
    </row>
    <row r="31" spans="1:15" x14ac:dyDescent="0.3">
      <c r="A31" t="s">
        <v>29</v>
      </c>
      <c r="B31">
        <v>0.111</v>
      </c>
      <c r="C31">
        <v>6.3E-2</v>
      </c>
      <c r="D31">
        <v>4.8000000000000001E-2</v>
      </c>
      <c r="E31" s="6">
        <v>63000</v>
      </c>
      <c r="F31" s="6">
        <v>853000</v>
      </c>
      <c r="G31" s="6">
        <v>49114</v>
      </c>
      <c r="H31" s="6">
        <v>31151</v>
      </c>
      <c r="I31" s="9">
        <v>261</v>
      </c>
      <c r="J31" t="b">
        <v>1</v>
      </c>
      <c r="K31" t="s">
        <v>62</v>
      </c>
      <c r="L31" s="6">
        <v>127082</v>
      </c>
      <c r="M31" s="6">
        <v>189429</v>
      </c>
      <c r="N31" s="6">
        <v>62347</v>
      </c>
      <c r="O31" s="6">
        <v>275803</v>
      </c>
    </row>
    <row r="32" spans="1:15" x14ac:dyDescent="0.3">
      <c r="A32" t="s">
        <v>30</v>
      </c>
      <c r="B32">
        <v>0.13200000000000001</v>
      </c>
      <c r="C32">
        <v>8.6999999999999994E-2</v>
      </c>
      <c r="D32">
        <v>4.4999999999999998E-2</v>
      </c>
      <c r="E32" s="6">
        <v>398000</v>
      </c>
      <c r="F32" s="6">
        <v>5450000</v>
      </c>
      <c r="G32" s="6">
        <v>249395</v>
      </c>
      <c r="H32" s="6">
        <v>205242</v>
      </c>
      <c r="I32" s="9">
        <v>322</v>
      </c>
      <c r="J32" t="b">
        <v>1</v>
      </c>
      <c r="K32" t="s">
        <v>62</v>
      </c>
      <c r="L32" s="6">
        <v>1283851</v>
      </c>
      <c r="M32" s="6">
        <v>1784529</v>
      </c>
      <c r="N32" s="6">
        <v>500678</v>
      </c>
      <c r="O32" s="6">
        <v>1528961</v>
      </c>
    </row>
    <row r="33" spans="1:15" x14ac:dyDescent="0.3">
      <c r="A33" t="s">
        <v>31</v>
      </c>
      <c r="B33">
        <v>0.19600000000000001</v>
      </c>
      <c r="C33">
        <v>0.109</v>
      </c>
      <c r="D33">
        <v>8.6999999999999994E-2</v>
      </c>
      <c r="E33" s="6">
        <v>178000</v>
      </c>
      <c r="F33" s="6">
        <v>884000</v>
      </c>
      <c r="G33" s="6">
        <v>47497</v>
      </c>
      <c r="H33" s="6">
        <v>32703</v>
      </c>
      <c r="I33" s="9">
        <v>212</v>
      </c>
      <c r="J33" t="b">
        <v>1</v>
      </c>
      <c r="K33" t="s">
        <v>62</v>
      </c>
      <c r="L33" s="6">
        <v>457678</v>
      </c>
      <c r="M33" s="6">
        <v>766732</v>
      </c>
      <c r="N33" s="6">
        <v>309054</v>
      </c>
      <c r="O33" s="6">
        <v>385918</v>
      </c>
    </row>
    <row r="34" spans="1:15" x14ac:dyDescent="0.3">
      <c r="A34" t="s">
        <v>32</v>
      </c>
      <c r="B34">
        <v>0.11899999999999999</v>
      </c>
      <c r="C34">
        <v>7.0999999999999994E-2</v>
      </c>
      <c r="D34">
        <v>4.8000000000000001E-2</v>
      </c>
      <c r="E34" s="6">
        <v>939000</v>
      </c>
      <c r="F34" s="6">
        <v>10895000</v>
      </c>
      <c r="G34" s="6">
        <v>224014</v>
      </c>
      <c r="H34" s="6">
        <v>123830</v>
      </c>
      <c r="I34" s="9">
        <v>178</v>
      </c>
      <c r="J34" t="b">
        <v>1</v>
      </c>
      <c r="K34" t="s">
        <v>62</v>
      </c>
      <c r="L34" s="6">
        <v>5678417</v>
      </c>
      <c r="M34" s="6">
        <v>6431165</v>
      </c>
      <c r="N34" s="6">
        <v>752748</v>
      </c>
      <c r="O34" s="6">
        <v>3424666</v>
      </c>
    </row>
    <row r="35" spans="1:15" x14ac:dyDescent="0.3">
      <c r="A35" t="s">
        <v>33</v>
      </c>
      <c r="B35">
        <v>0.16800000000000001</v>
      </c>
      <c r="C35">
        <v>0.112</v>
      </c>
      <c r="D35">
        <v>5.6000000000000001E-2</v>
      </c>
      <c r="E35" s="6">
        <v>552000</v>
      </c>
      <c r="F35" s="6">
        <v>4934000</v>
      </c>
      <c r="G35" s="6">
        <v>545354</v>
      </c>
      <c r="H35" s="6">
        <v>499178</v>
      </c>
      <c r="I35" s="9">
        <v>401</v>
      </c>
      <c r="J35" t="b">
        <v>0</v>
      </c>
      <c r="K35" t="s">
        <v>61</v>
      </c>
      <c r="L35" s="6">
        <v>1595952</v>
      </c>
      <c r="M35" s="6">
        <v>2072282</v>
      </c>
      <c r="N35" s="6">
        <v>476330</v>
      </c>
      <c r="O35" s="6">
        <v>1823454</v>
      </c>
    </row>
    <row r="36" spans="1:15" x14ac:dyDescent="0.3">
      <c r="A36" t="s">
        <v>34</v>
      </c>
      <c r="B36">
        <v>9.8000000000000004E-2</v>
      </c>
      <c r="C36">
        <v>7.8E-2</v>
      </c>
      <c r="D36">
        <v>0.02</v>
      </c>
      <c r="E36" s="6">
        <v>15000</v>
      </c>
      <c r="F36" s="6">
        <v>450000</v>
      </c>
      <c r="G36" s="6">
        <v>20536</v>
      </c>
      <c r="H36" s="6">
        <v>17630</v>
      </c>
      <c r="I36" s="9">
        <v>262</v>
      </c>
      <c r="J36" t="b">
        <v>1</v>
      </c>
      <c r="K36" t="s">
        <v>62</v>
      </c>
      <c r="L36" s="6">
        <v>69980</v>
      </c>
      <c r="M36" s="6">
        <v>89763</v>
      </c>
      <c r="N36" s="6">
        <v>19783</v>
      </c>
      <c r="O36" s="6">
        <v>122294</v>
      </c>
    </row>
    <row r="37" spans="1:15" x14ac:dyDescent="0.3">
      <c r="A37" t="s">
        <v>35</v>
      </c>
      <c r="B37">
        <v>0.123</v>
      </c>
      <c r="C37">
        <v>6.5000000000000002E-2</v>
      </c>
      <c r="D37">
        <v>5.8000000000000003E-2</v>
      </c>
      <c r="E37" s="6">
        <v>664000</v>
      </c>
      <c r="F37" s="6">
        <v>6831000</v>
      </c>
      <c r="G37" s="6">
        <v>212046</v>
      </c>
      <c r="H37" s="6">
        <v>174448</v>
      </c>
      <c r="I37" s="9">
        <v>250</v>
      </c>
      <c r="J37" t="b">
        <v>1</v>
      </c>
      <c r="K37" t="s">
        <v>62</v>
      </c>
      <c r="L37" s="6">
        <v>2341481</v>
      </c>
      <c r="M37" s="6">
        <v>3003170</v>
      </c>
      <c r="N37" s="6">
        <v>661689</v>
      </c>
      <c r="O37" s="6">
        <v>2208504</v>
      </c>
    </row>
    <row r="38" spans="1:15" x14ac:dyDescent="0.3">
      <c r="A38" t="s">
        <v>36</v>
      </c>
      <c r="B38">
        <v>0.189</v>
      </c>
      <c r="C38">
        <v>0.13900000000000001</v>
      </c>
      <c r="D38">
        <v>0.05</v>
      </c>
      <c r="E38" s="6">
        <v>192000</v>
      </c>
      <c r="F38" s="6">
        <v>1948000</v>
      </c>
      <c r="G38" s="6">
        <v>130178</v>
      </c>
      <c r="H38" s="6">
        <v>113209</v>
      </c>
      <c r="I38" s="9">
        <v>298</v>
      </c>
      <c r="J38" t="b">
        <v>0</v>
      </c>
      <c r="K38" t="s">
        <v>61</v>
      </c>
      <c r="L38" s="6">
        <v>790051</v>
      </c>
      <c r="M38" s="6">
        <v>788544</v>
      </c>
      <c r="N38" s="6">
        <v>-1507</v>
      </c>
      <c r="O38" s="6">
        <v>693677</v>
      </c>
    </row>
    <row r="39" spans="1:15" x14ac:dyDescent="0.3">
      <c r="A39" t="s">
        <v>37</v>
      </c>
      <c r="B39">
        <v>0.17100000000000001</v>
      </c>
      <c r="C39">
        <v>7.0000000000000007E-2</v>
      </c>
      <c r="D39">
        <v>0.10100000000000001</v>
      </c>
      <c r="E39" s="6">
        <v>403000</v>
      </c>
      <c r="F39" s="6">
        <v>2070000</v>
      </c>
      <c r="G39" s="6">
        <v>131167</v>
      </c>
      <c r="H39" s="6">
        <v>95507</v>
      </c>
      <c r="I39" s="9">
        <v>253</v>
      </c>
      <c r="J39" t="b">
        <v>1</v>
      </c>
      <c r="K39" t="s">
        <v>62</v>
      </c>
      <c r="L39" s="6">
        <v>626356</v>
      </c>
      <c r="M39" s="6">
        <v>1021862</v>
      </c>
      <c r="N39" s="6">
        <v>395506</v>
      </c>
      <c r="O39" s="6">
        <v>784032</v>
      </c>
    </row>
    <row r="40" spans="1:15" x14ac:dyDescent="0.3">
      <c r="A40" t="s">
        <v>38</v>
      </c>
      <c r="B40">
        <v>0.10199999999999999</v>
      </c>
      <c r="C40">
        <v>6.4000000000000001E-2</v>
      </c>
      <c r="D40">
        <v>3.7999999999999999E-2</v>
      </c>
      <c r="E40" s="6">
        <v>479000</v>
      </c>
      <c r="F40" s="6">
        <v>7502000</v>
      </c>
      <c r="G40" s="6">
        <v>412347</v>
      </c>
      <c r="H40" s="6">
        <v>321345</v>
      </c>
      <c r="I40" s="9">
        <v>248</v>
      </c>
      <c r="J40" t="b">
        <v>1</v>
      </c>
      <c r="K40" t="s">
        <v>62</v>
      </c>
      <c r="L40" s="6">
        <v>2386046</v>
      </c>
      <c r="M40" s="6">
        <v>2883114</v>
      </c>
      <c r="N40" s="6">
        <v>497068</v>
      </c>
      <c r="O40" s="6">
        <v>2588577</v>
      </c>
    </row>
    <row r="41" spans="1:15" x14ac:dyDescent="0.3">
      <c r="A41" t="s">
        <v>39</v>
      </c>
      <c r="B41">
        <v>0.122</v>
      </c>
      <c r="C41">
        <v>5.7000000000000002E-2</v>
      </c>
      <c r="D41">
        <v>6.5000000000000002E-2</v>
      </c>
      <c r="E41" s="6">
        <v>68000</v>
      </c>
      <c r="F41" s="6">
        <v>597000</v>
      </c>
      <c r="G41" s="6">
        <v>35583</v>
      </c>
      <c r="H41" s="6">
        <v>30015</v>
      </c>
      <c r="I41" s="9">
        <v>250</v>
      </c>
      <c r="J41" t="b">
        <v>1</v>
      </c>
      <c r="K41" t="s">
        <v>62</v>
      </c>
      <c r="L41" s="6">
        <v>190833</v>
      </c>
      <c r="M41" s="6">
        <v>287173</v>
      </c>
      <c r="N41" s="6">
        <v>96340</v>
      </c>
      <c r="O41" s="6">
        <v>208324</v>
      </c>
    </row>
    <row r="42" spans="1:15" x14ac:dyDescent="0.3">
      <c r="A42" t="s">
        <v>40</v>
      </c>
      <c r="B42">
        <v>0.17499999999999999</v>
      </c>
      <c r="C42">
        <v>0.109</v>
      </c>
      <c r="D42">
        <v>6.6000000000000003E-2</v>
      </c>
      <c r="E42" s="6">
        <v>317000</v>
      </c>
      <c r="F42" s="6">
        <v>2487000</v>
      </c>
      <c r="G42" s="6">
        <v>204846</v>
      </c>
      <c r="H42" s="6">
        <v>186345</v>
      </c>
      <c r="I42" s="9">
        <v>312</v>
      </c>
      <c r="J42" t="b">
        <v>0</v>
      </c>
      <c r="K42" t="s">
        <v>61</v>
      </c>
      <c r="L42" s="6">
        <v>889744</v>
      </c>
      <c r="M42" s="6">
        <v>994804</v>
      </c>
      <c r="N42" s="6">
        <v>105060</v>
      </c>
      <c r="O42" s="6">
        <v>974114</v>
      </c>
    </row>
    <row r="43" spans="1:15" x14ac:dyDescent="0.3">
      <c r="A43" t="s">
        <v>41</v>
      </c>
      <c r="B43">
        <v>0.124</v>
      </c>
      <c r="C43">
        <v>0.10199999999999999</v>
      </c>
      <c r="D43">
        <v>2.1999999999999999E-2</v>
      </c>
      <c r="E43" s="6">
        <v>19000</v>
      </c>
      <c r="F43" s="6">
        <v>449000</v>
      </c>
      <c r="G43" s="6">
        <v>24578</v>
      </c>
      <c r="H43" s="6">
        <v>22005</v>
      </c>
      <c r="I43" s="9">
        <v>307</v>
      </c>
      <c r="J43" t="b">
        <v>0</v>
      </c>
      <c r="K43" t="s">
        <v>61</v>
      </c>
      <c r="L43" s="6">
        <v>115501</v>
      </c>
      <c r="M43" s="6">
        <v>119835</v>
      </c>
      <c r="N43" s="6">
        <v>4334</v>
      </c>
      <c r="O43" s="6">
        <v>161464</v>
      </c>
    </row>
    <row r="44" spans="1:15" x14ac:dyDescent="0.3">
      <c r="A44" t="s">
        <v>42</v>
      </c>
      <c r="B44">
        <v>0.14399999999999999</v>
      </c>
      <c r="C44">
        <v>0.10299999999999999</v>
      </c>
      <c r="D44">
        <v>4.1000000000000002E-2</v>
      </c>
      <c r="E44" s="6">
        <v>266000</v>
      </c>
      <c r="F44" s="6">
        <v>3369000</v>
      </c>
      <c r="G44" s="6">
        <v>231705</v>
      </c>
      <c r="H44" s="6">
        <v>203112</v>
      </c>
      <c r="I44" s="9">
        <v>299</v>
      </c>
      <c r="J44" t="b">
        <v>0</v>
      </c>
      <c r="K44" t="s">
        <v>61</v>
      </c>
      <c r="L44" s="6">
        <v>1244516</v>
      </c>
      <c r="M44" s="6">
        <v>1627100</v>
      </c>
      <c r="N44" s="6">
        <v>382584</v>
      </c>
      <c r="O44" s="6">
        <v>1266920</v>
      </c>
    </row>
    <row r="45" spans="1:15" x14ac:dyDescent="0.3">
      <c r="A45" t="s">
        <v>43</v>
      </c>
      <c r="B45">
        <v>0.23699999999999999</v>
      </c>
      <c r="C45">
        <v>0.17100000000000001</v>
      </c>
      <c r="D45">
        <v>6.6000000000000003E-2</v>
      </c>
      <c r="E45" s="6">
        <v>1781000</v>
      </c>
      <c r="F45" s="6">
        <v>13709000</v>
      </c>
      <c r="G45" s="6">
        <v>1092650</v>
      </c>
      <c r="H45" s="6">
        <v>913177</v>
      </c>
      <c r="I45" s="9">
        <v>271</v>
      </c>
      <c r="J45" t="b">
        <v>0</v>
      </c>
      <c r="K45" t="s">
        <v>61</v>
      </c>
      <c r="L45" s="6">
        <v>4441605</v>
      </c>
      <c r="M45" s="6">
        <v>4770229</v>
      </c>
      <c r="N45" s="6">
        <v>328624</v>
      </c>
      <c r="O45" s="6">
        <v>3765946</v>
      </c>
    </row>
    <row r="46" spans="1:15" x14ac:dyDescent="0.3">
      <c r="A46" t="s">
        <v>44</v>
      </c>
      <c r="B46">
        <v>0.153</v>
      </c>
      <c r="C46">
        <v>0.105</v>
      </c>
      <c r="D46">
        <v>4.8000000000000001E-2</v>
      </c>
      <c r="E46" s="6">
        <v>143000</v>
      </c>
      <c r="F46" s="6">
        <v>1897000</v>
      </c>
      <c r="G46" s="6">
        <v>164415</v>
      </c>
      <c r="H46" s="6">
        <v>145288</v>
      </c>
      <c r="I46" s="9">
        <v>187</v>
      </c>
      <c r="J46" t="b">
        <v>0</v>
      </c>
      <c r="K46" t="s">
        <v>61</v>
      </c>
      <c r="L46" s="6">
        <v>294029</v>
      </c>
      <c r="M46" s="6">
        <v>314182</v>
      </c>
      <c r="N46" s="6">
        <v>20153</v>
      </c>
      <c r="O46" s="6">
        <v>358887</v>
      </c>
    </row>
    <row r="47" spans="1:15" x14ac:dyDescent="0.3">
      <c r="A47" t="s">
        <v>45</v>
      </c>
      <c r="B47">
        <v>0.08</v>
      </c>
      <c r="C47">
        <v>3.7999999999999999E-2</v>
      </c>
      <c r="D47">
        <v>4.2000000000000003E-2</v>
      </c>
      <c r="E47" s="6">
        <v>26000</v>
      </c>
      <c r="F47" s="6">
        <v>345000</v>
      </c>
      <c r="G47" s="6">
        <v>27883</v>
      </c>
      <c r="H47" s="6">
        <v>19575</v>
      </c>
      <c r="I47" s="9">
        <v>300</v>
      </c>
      <c r="J47" t="b">
        <v>1</v>
      </c>
      <c r="K47" t="s">
        <v>62</v>
      </c>
      <c r="L47" s="6">
        <v>161081</v>
      </c>
      <c r="M47" s="6">
        <v>175597</v>
      </c>
      <c r="N47" s="6">
        <v>14516</v>
      </c>
      <c r="O47" s="6">
        <v>136021</v>
      </c>
    </row>
    <row r="48" spans="1:15" x14ac:dyDescent="0.3">
      <c r="A48" t="s">
        <v>46</v>
      </c>
      <c r="B48">
        <v>0.13100000000000001</v>
      </c>
      <c r="C48">
        <v>9.0999999999999998E-2</v>
      </c>
      <c r="D48">
        <v>0.04</v>
      </c>
      <c r="E48" s="6">
        <v>327000</v>
      </c>
      <c r="F48" s="6">
        <v>4850000</v>
      </c>
      <c r="G48" s="6">
        <v>378838</v>
      </c>
      <c r="H48" s="6">
        <v>319068</v>
      </c>
      <c r="I48" s="9">
        <v>276</v>
      </c>
      <c r="J48" t="b">
        <v>0</v>
      </c>
      <c r="K48" t="s">
        <v>61</v>
      </c>
      <c r="L48" s="6">
        <v>935434</v>
      </c>
      <c r="M48" s="6">
        <v>988821</v>
      </c>
      <c r="N48" s="6">
        <v>53387</v>
      </c>
      <c r="O48" s="6">
        <v>1392261</v>
      </c>
    </row>
    <row r="49" spans="1:15" x14ac:dyDescent="0.3">
      <c r="A49" t="s">
        <v>47</v>
      </c>
      <c r="B49">
        <v>0.14199999999999999</v>
      </c>
      <c r="C49">
        <v>6.6000000000000003E-2</v>
      </c>
      <c r="D49">
        <v>7.5999999999999998E-2</v>
      </c>
      <c r="E49" s="6">
        <v>537000</v>
      </c>
      <c r="F49" s="6">
        <v>3986000</v>
      </c>
      <c r="G49" s="6">
        <v>158245</v>
      </c>
      <c r="H49" s="6">
        <v>110476</v>
      </c>
      <c r="I49" s="9">
        <v>238</v>
      </c>
      <c r="J49" t="b">
        <v>1</v>
      </c>
      <c r="K49" t="s">
        <v>62</v>
      </c>
      <c r="L49" s="6">
        <v>1117576</v>
      </c>
      <c r="M49" s="6">
        <v>1788536</v>
      </c>
      <c r="N49" s="6">
        <v>670960</v>
      </c>
      <c r="O49" s="6">
        <v>1238649</v>
      </c>
    </row>
    <row r="50" spans="1:15" x14ac:dyDescent="0.3">
      <c r="A50" t="s">
        <v>48</v>
      </c>
      <c r="B50">
        <v>0.14599999999999999</v>
      </c>
      <c r="C50">
        <v>0.06</v>
      </c>
      <c r="D50">
        <v>8.5999999999999993E-2</v>
      </c>
      <c r="E50" s="6">
        <v>156000</v>
      </c>
      <c r="F50" s="6">
        <v>976000</v>
      </c>
      <c r="G50" s="6">
        <v>33235</v>
      </c>
      <c r="H50" s="6">
        <v>29163</v>
      </c>
      <c r="I50" s="9">
        <v>388</v>
      </c>
      <c r="J50" t="b">
        <v>1</v>
      </c>
      <c r="K50" t="s">
        <v>62</v>
      </c>
      <c r="L50" s="6">
        <v>354544</v>
      </c>
      <c r="M50" s="6">
        <v>575645</v>
      </c>
      <c r="N50" s="6">
        <v>221101</v>
      </c>
      <c r="O50" s="6">
        <v>423500</v>
      </c>
    </row>
    <row r="51" spans="1:15" x14ac:dyDescent="0.3">
      <c r="A51" t="s">
        <v>49</v>
      </c>
      <c r="B51">
        <v>9.4E-2</v>
      </c>
      <c r="C51">
        <v>5.7000000000000002E-2</v>
      </c>
      <c r="D51">
        <v>3.6999999999999998E-2</v>
      </c>
      <c r="E51" s="6">
        <v>211000</v>
      </c>
      <c r="F51" s="6">
        <v>3521000</v>
      </c>
      <c r="G51" s="6">
        <v>224208</v>
      </c>
      <c r="H51" s="6">
        <v>190542</v>
      </c>
      <c r="I51" s="9">
        <v>332</v>
      </c>
      <c r="J51" t="b">
        <v>0</v>
      </c>
      <c r="K51" t="s">
        <v>61</v>
      </c>
      <c r="L51" s="6">
        <v>985531</v>
      </c>
      <c r="M51" s="6">
        <v>1046897</v>
      </c>
      <c r="N51" s="6">
        <v>61366</v>
      </c>
      <c r="O51" s="6">
        <v>1084854</v>
      </c>
    </row>
    <row r="52" spans="1:15" x14ac:dyDescent="0.3">
      <c r="A52" t="s">
        <v>50</v>
      </c>
      <c r="B52">
        <v>0.14899999999999999</v>
      </c>
      <c r="C52">
        <v>0.115</v>
      </c>
      <c r="D52">
        <v>3.4000000000000002E-2</v>
      </c>
      <c r="E52" s="6">
        <v>20000</v>
      </c>
      <c r="F52" s="6">
        <v>335000</v>
      </c>
      <c r="G52" s="6">
        <v>22076</v>
      </c>
      <c r="H52" s="6">
        <v>20313</v>
      </c>
      <c r="I52" s="9">
        <v>459</v>
      </c>
      <c r="J52" t="b">
        <v>0</v>
      </c>
      <c r="K52" t="s">
        <v>61</v>
      </c>
      <c r="L52" s="6">
        <v>67518</v>
      </c>
      <c r="M52" s="6">
        <v>63583</v>
      </c>
      <c r="N52" s="6">
        <v>-3935</v>
      </c>
      <c r="O52" s="6">
        <v>99128</v>
      </c>
    </row>
    <row r="53" spans="1:15" x14ac:dyDescent="0.3">
      <c r="N53" s="6" t="s">
        <v>86</v>
      </c>
      <c r="O53" s="6" t="s">
        <v>85</v>
      </c>
    </row>
    <row r="54" spans="1:15" x14ac:dyDescent="0.3">
      <c r="A54" t="s">
        <v>80</v>
      </c>
      <c r="D54" t="s">
        <v>79</v>
      </c>
      <c r="E54" s="6" t="s">
        <v>81</v>
      </c>
      <c r="F54" s="6" t="s">
        <v>82</v>
      </c>
      <c r="G54" s="6" t="s">
        <v>83</v>
      </c>
      <c r="I54" s="9" t="s">
        <v>84</v>
      </c>
      <c r="N54" s="6">
        <f>SUM(N1:N52)</f>
        <v>17140454</v>
      </c>
      <c r="O54" s="6">
        <f>SUM(Health_Insurrance[Medicare Enrollment (2016)])</f>
        <v>55893993</v>
      </c>
    </row>
    <row r="55" spans="1:15" x14ac:dyDescent="0.3">
      <c r="A55">
        <f>COUNTA(Health_Insurrance[[#All],[State]])</f>
        <v>52</v>
      </c>
      <c r="D55" s="3">
        <f>AVERAGE(Health_Insurrance[[#All],[Uninsured Rate Change (2010-2015)]])</f>
        <v>5.4333333333333303E-2</v>
      </c>
      <c r="E55" s="6">
        <f>SUM(Health_Insurrance[[#All],[Health Insurance Coverage Change (2010-2015)]])</f>
        <v>19589000</v>
      </c>
      <c r="F55" s="6">
        <f>SUM(Health_Insurrance[[#All],[Employer Health Insurance Coverage (2015)]])</f>
        <v>172292000</v>
      </c>
      <c r="G55" s="6">
        <f>SUM(Health_Insurrance[[#All],[Marketplace Health Insurance Coverage (2016)]])</f>
        <v>11081330</v>
      </c>
      <c r="I55" s="9">
        <f>AVERAGE(Health_Insurrance[[#All],[Average Monthly Tax Credit (2016)]])</f>
        <v>292.15686274509807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8ACD-D4BD-435C-84CE-5C441A60E934}">
  <dimension ref="A1:AC53"/>
  <sheetViews>
    <sheetView topLeftCell="K1" workbookViewId="0">
      <selection activeCell="Q4" sqref="Q4"/>
    </sheetView>
  </sheetViews>
  <sheetFormatPr defaultRowHeight="14.4" x14ac:dyDescent="0.3"/>
  <cols>
    <col min="1" max="1" width="10.6640625" bestFit="1" customWidth="1"/>
    <col min="2" max="2" width="39.88671875" style="3" bestFit="1" customWidth="1"/>
    <col min="3" max="3" width="2" style="5" customWidth="1"/>
    <col min="4" max="4" width="8.77734375" bestFit="1" customWidth="1"/>
    <col min="5" max="5" width="48.109375" style="6" bestFit="1" customWidth="1"/>
    <col min="6" max="6" width="2.21875" style="5" customWidth="1"/>
    <col min="7" max="7" width="11.44140625" bestFit="1" customWidth="1"/>
    <col min="8" max="8" width="45.109375" style="6" bestFit="1" customWidth="1"/>
    <col min="9" max="9" width="2" style="8" customWidth="1"/>
    <col min="10" max="10" width="12.6640625" style="6" bestFit="1" customWidth="1"/>
    <col min="11" max="11" width="47.77734375" style="9" bestFit="1" customWidth="1"/>
    <col min="12" max="12" width="2.88671875" style="10" customWidth="1"/>
    <col min="13" max="13" width="24.88671875" bestFit="1" customWidth="1"/>
    <col min="14" max="14" width="48.109375" style="6" bestFit="1" customWidth="1"/>
    <col min="15" max="15" width="2.6640625" style="11" customWidth="1"/>
    <col min="16" max="16" width="12.6640625" bestFit="1" customWidth="1"/>
    <col min="17" max="17" width="35.44140625" style="12" bestFit="1" customWidth="1"/>
    <col min="18" max="18" width="2.109375" style="11" customWidth="1"/>
    <col min="19" max="19" width="10.77734375" bestFit="1" customWidth="1"/>
    <col min="20" max="20" width="41.88671875" style="6" bestFit="1" customWidth="1"/>
    <col min="21" max="21" width="5.33203125" style="6" customWidth="1"/>
    <col min="22" max="22" width="23" style="6" bestFit="1" customWidth="1"/>
    <col min="23" max="23" width="40.6640625" bestFit="1" customWidth="1"/>
    <col min="24" max="24" width="42.33203125" bestFit="1" customWidth="1"/>
    <col min="25" max="25" width="43.21875" bestFit="1" customWidth="1"/>
    <col min="26" max="26" width="45.77734375" bestFit="1" customWidth="1"/>
    <col min="27" max="27" width="43.109375" bestFit="1" customWidth="1"/>
    <col min="28" max="28" width="46.6640625" bestFit="1" customWidth="1"/>
    <col min="29" max="29" width="28.21875" bestFit="1" customWidth="1"/>
    <col min="30" max="34" width="6" bestFit="1" customWidth="1"/>
    <col min="35" max="35" width="5" bestFit="1" customWidth="1"/>
    <col min="36" max="41" width="6" bestFit="1" customWidth="1"/>
  </cols>
  <sheetData>
    <row r="1" spans="1:29" x14ac:dyDescent="0.3">
      <c r="A1" s="1" t="s">
        <v>52</v>
      </c>
      <c r="B1" s="4" t="s">
        <v>51</v>
      </c>
      <c r="D1" s="1" t="s">
        <v>52</v>
      </c>
      <c r="E1" s="7" t="s">
        <v>53</v>
      </c>
      <c r="G1" s="1" t="s">
        <v>52</v>
      </c>
      <c r="H1" s="7" t="s">
        <v>57</v>
      </c>
      <c r="I1" s="5"/>
      <c r="J1"/>
      <c r="M1" s="1" t="s">
        <v>58</v>
      </c>
      <c r="N1" s="7" t="s">
        <v>53</v>
      </c>
      <c r="P1" s="1" t="s">
        <v>63</v>
      </c>
      <c r="Q1" s="12" t="s">
        <v>60</v>
      </c>
      <c r="S1" s="1" t="s">
        <v>63</v>
      </c>
      <c r="T1" s="12" t="s">
        <v>56</v>
      </c>
      <c r="U1"/>
      <c r="V1"/>
    </row>
    <row r="2" spans="1:29" x14ac:dyDescent="0.3">
      <c r="A2" s="2" t="s">
        <v>28</v>
      </c>
      <c r="B2" s="4">
        <v>0.10299999999999999</v>
      </c>
      <c r="D2" s="2" t="s">
        <v>4</v>
      </c>
      <c r="E2" s="7">
        <v>3826000</v>
      </c>
      <c r="G2" s="2" t="s">
        <v>4</v>
      </c>
      <c r="H2" s="7">
        <v>19552000</v>
      </c>
      <c r="I2" s="5"/>
      <c r="J2" s="1" t="s">
        <v>52</v>
      </c>
      <c r="K2" s="7" t="s">
        <v>59</v>
      </c>
      <c r="L2" s="11"/>
      <c r="M2" s="2" t="s">
        <v>54</v>
      </c>
      <c r="N2" s="7">
        <v>6915000</v>
      </c>
      <c r="P2" s="2" t="s">
        <v>1</v>
      </c>
      <c r="Q2" s="12">
        <v>750</v>
      </c>
      <c r="S2" s="2" t="s">
        <v>35</v>
      </c>
      <c r="T2" s="7">
        <v>661689</v>
      </c>
      <c r="U2"/>
      <c r="V2"/>
    </row>
    <row r="3" spans="1:29" x14ac:dyDescent="0.3">
      <c r="A3" s="2" t="s">
        <v>37</v>
      </c>
      <c r="B3" s="4">
        <v>0.10100000000000001</v>
      </c>
      <c r="D3" s="2" t="s">
        <v>43</v>
      </c>
      <c r="E3" s="7">
        <v>1781000</v>
      </c>
      <c r="G3" s="2" t="s">
        <v>43</v>
      </c>
      <c r="H3" s="7">
        <v>13709000</v>
      </c>
      <c r="I3" s="5"/>
      <c r="J3" s="2" t="s">
        <v>10</v>
      </c>
      <c r="K3" s="7">
        <v>478016</v>
      </c>
      <c r="L3" s="11"/>
      <c r="M3" s="2" t="s">
        <v>55</v>
      </c>
      <c r="N3" s="7">
        <v>12674000</v>
      </c>
      <c r="P3" s="2" t="s">
        <v>50</v>
      </c>
      <c r="Q3" s="12">
        <v>459</v>
      </c>
      <c r="S3" s="2" t="s">
        <v>47</v>
      </c>
      <c r="T3" s="7">
        <v>670960</v>
      </c>
      <c r="U3"/>
      <c r="V3" t="s">
        <v>64</v>
      </c>
    </row>
    <row r="4" spans="1:29" x14ac:dyDescent="0.3">
      <c r="A4" s="2" t="s">
        <v>4</v>
      </c>
      <c r="B4" s="4">
        <v>9.9000000000000005E-2</v>
      </c>
      <c r="D4" s="2" t="s">
        <v>9</v>
      </c>
      <c r="E4" s="7">
        <v>1597000</v>
      </c>
      <c r="G4" s="2" t="s">
        <v>32</v>
      </c>
      <c r="H4" s="7">
        <v>10895000</v>
      </c>
      <c r="I4" s="5"/>
      <c r="J4" s="2" t="s">
        <v>33</v>
      </c>
      <c r="K4" s="7">
        <v>545354</v>
      </c>
      <c r="L4" s="11"/>
      <c r="N4"/>
      <c r="P4" s="2" t="s">
        <v>33</v>
      </c>
      <c r="Q4" s="12">
        <v>401</v>
      </c>
      <c r="S4" s="2" t="s">
        <v>32</v>
      </c>
      <c r="T4" s="7">
        <v>752748</v>
      </c>
      <c r="U4"/>
      <c r="V4"/>
    </row>
    <row r="5" spans="1:29" x14ac:dyDescent="0.3">
      <c r="A5" s="2" t="s">
        <v>17</v>
      </c>
      <c r="B5" s="4">
        <v>9.2999999999999999E-2</v>
      </c>
      <c r="D5" s="2" t="s">
        <v>32</v>
      </c>
      <c r="E5" s="7">
        <v>939000</v>
      </c>
      <c r="G5" s="2" t="s">
        <v>9</v>
      </c>
      <c r="H5" s="7">
        <v>8847000</v>
      </c>
      <c r="I5" s="5"/>
      <c r="J5" s="2" t="s">
        <v>43</v>
      </c>
      <c r="K5" s="7">
        <v>1092650</v>
      </c>
      <c r="L5" s="11"/>
      <c r="N5"/>
      <c r="P5" s="2" t="s">
        <v>48</v>
      </c>
      <c r="Q5" s="12">
        <v>388</v>
      </c>
      <c r="S5" s="2" t="s">
        <v>6</v>
      </c>
      <c r="T5" s="7">
        <v>761137</v>
      </c>
      <c r="U5"/>
      <c r="V5" t="s">
        <v>87</v>
      </c>
      <c r="X5" s="6"/>
      <c r="Y5" s="6"/>
      <c r="Z5" s="6"/>
      <c r="AA5" s="9"/>
      <c r="AB5" s="6" t="s">
        <v>86</v>
      </c>
      <c r="AC5" s="6" t="s">
        <v>85</v>
      </c>
    </row>
    <row r="6" spans="1:29" x14ac:dyDescent="0.3">
      <c r="A6" s="2" t="s">
        <v>31</v>
      </c>
      <c r="B6" s="4">
        <v>8.6999999999999994E-2</v>
      </c>
      <c r="D6" s="2" t="s">
        <v>13</v>
      </c>
      <c r="E6" s="7">
        <v>850000</v>
      </c>
      <c r="G6" s="2" t="s">
        <v>38</v>
      </c>
      <c r="H6" s="7">
        <v>7502000</v>
      </c>
      <c r="I6" s="5"/>
      <c r="J6" s="2" t="s">
        <v>4</v>
      </c>
      <c r="K6" s="7">
        <v>1415428</v>
      </c>
      <c r="L6" s="11"/>
      <c r="P6" s="2" t="s">
        <v>18</v>
      </c>
      <c r="Q6" s="12">
        <v>362</v>
      </c>
      <c r="S6" s="2" t="s">
        <v>4</v>
      </c>
      <c r="T6" s="7">
        <v>4087700</v>
      </c>
      <c r="U6"/>
      <c r="V6">
        <f>COUNTA(DATASET!A2:A52)</f>
        <v>51</v>
      </c>
      <c r="W6" t="s">
        <v>79</v>
      </c>
      <c r="X6" s="6" t="s">
        <v>81</v>
      </c>
      <c r="Y6" s="6" t="s">
        <v>82</v>
      </c>
      <c r="Z6" s="6" t="s">
        <v>83</v>
      </c>
      <c r="AA6" s="9" t="s">
        <v>84</v>
      </c>
      <c r="AB6" s="6">
        <f>SUM(DATASET!N1:N52)</f>
        <v>17140454</v>
      </c>
      <c r="AC6" s="6">
        <f>SUM(Health_Insurrance[Medicare Enrollment (2016)])</f>
        <v>55893993</v>
      </c>
    </row>
    <row r="7" spans="1:29" x14ac:dyDescent="0.3">
      <c r="B7"/>
      <c r="E7"/>
      <c r="H7"/>
      <c r="I7" s="5"/>
      <c r="J7" s="2" t="s">
        <v>9</v>
      </c>
      <c r="K7" s="7">
        <v>1531714</v>
      </c>
      <c r="L7" s="11"/>
      <c r="Q7"/>
      <c r="T7"/>
      <c r="U7"/>
      <c r="V7"/>
      <c r="W7" s="3">
        <f>AVERAGE(Health_Insurrance[[#All],[Uninsured Rate Change (2010-2015)]])</f>
        <v>5.4333333333333303E-2</v>
      </c>
      <c r="X7" s="6">
        <f>SUM(Health_Insurrance[[#All],[Health Insurance Coverage Change (2010-2015)]])</f>
        <v>19589000</v>
      </c>
      <c r="Y7" s="6">
        <f>SUM(Health_Insurrance[[#All],[Employer Health Insurance Coverage (2015)]])</f>
        <v>172292000</v>
      </c>
      <c r="Z7" s="6">
        <f>SUM(Health_Insurrance[[#All],[Marketplace Health Insurance Coverage (2016)]])</f>
        <v>11081330</v>
      </c>
      <c r="AA7" s="9">
        <f>AVERAGE(Health_Insurrance[[#All],[Average Monthly Tax Credit (2016)]])</f>
        <v>292.15686274509807</v>
      </c>
      <c r="AB7" s="6"/>
      <c r="AC7" s="6"/>
    </row>
    <row r="8" spans="1:29" x14ac:dyDescent="0.3">
      <c r="B8"/>
      <c r="E8"/>
      <c r="H8"/>
      <c r="I8" s="5"/>
      <c r="J8"/>
      <c r="K8"/>
      <c r="L8" s="11"/>
      <c r="Q8"/>
      <c r="T8"/>
      <c r="U8"/>
      <c r="V8"/>
    </row>
    <row r="9" spans="1:29" x14ac:dyDescent="0.3">
      <c r="B9"/>
      <c r="E9"/>
      <c r="H9"/>
      <c r="I9" s="5"/>
      <c r="J9"/>
      <c r="K9"/>
      <c r="L9" s="11"/>
      <c r="Q9"/>
      <c r="T9"/>
      <c r="U9"/>
      <c r="V9"/>
    </row>
    <row r="10" spans="1:29" x14ac:dyDescent="0.3">
      <c r="B10"/>
      <c r="E10"/>
      <c r="H10"/>
      <c r="I10" s="5"/>
      <c r="J10"/>
      <c r="K10"/>
      <c r="L10" s="11"/>
      <c r="Q10"/>
      <c r="T10"/>
      <c r="U10"/>
      <c r="V10"/>
    </row>
    <row r="11" spans="1:29" x14ac:dyDescent="0.3">
      <c r="B11"/>
      <c r="E11"/>
      <c r="H11"/>
      <c r="I11" s="5"/>
      <c r="J11"/>
      <c r="K11"/>
      <c r="L11" s="11"/>
      <c r="Q11"/>
      <c r="T11"/>
      <c r="U11"/>
      <c r="V11"/>
    </row>
    <row r="12" spans="1:29" x14ac:dyDescent="0.3">
      <c r="B12"/>
      <c r="E12"/>
      <c r="H12"/>
      <c r="I12" s="5"/>
      <c r="J12"/>
      <c r="K12"/>
      <c r="L12" s="11"/>
      <c r="Q12"/>
    </row>
    <row r="13" spans="1:29" x14ac:dyDescent="0.3">
      <c r="B13"/>
      <c r="E13"/>
      <c r="H13"/>
      <c r="I13" s="5"/>
      <c r="J13"/>
      <c r="K13"/>
      <c r="L13" s="11"/>
      <c r="Q13"/>
    </row>
    <row r="14" spans="1:29" x14ac:dyDescent="0.3">
      <c r="B14"/>
      <c r="E14"/>
      <c r="H14"/>
      <c r="J14"/>
      <c r="K14"/>
      <c r="L14" s="11"/>
      <c r="Q14"/>
    </row>
    <row r="15" spans="1:29" x14ac:dyDescent="0.3">
      <c r="B15"/>
      <c r="E15"/>
      <c r="H15"/>
      <c r="J15"/>
      <c r="K15"/>
      <c r="L15" s="11"/>
      <c r="Q15"/>
    </row>
    <row r="16" spans="1:29" x14ac:dyDescent="0.3">
      <c r="B16"/>
      <c r="E16"/>
      <c r="H16"/>
      <c r="J16"/>
      <c r="K16"/>
      <c r="L16" s="11"/>
      <c r="Q16"/>
    </row>
    <row r="17" spans="2:17" x14ac:dyDescent="0.3">
      <c r="B17"/>
      <c r="E17"/>
      <c r="H17"/>
      <c r="J17"/>
      <c r="K17"/>
      <c r="L17" s="11"/>
      <c r="Q17"/>
    </row>
    <row r="18" spans="2:17" x14ac:dyDescent="0.3">
      <c r="B18"/>
      <c r="E18"/>
      <c r="H18"/>
      <c r="J18"/>
      <c r="K18"/>
      <c r="L18" s="11"/>
      <c r="Q18"/>
    </row>
    <row r="19" spans="2:17" x14ac:dyDescent="0.3">
      <c r="B19"/>
      <c r="E19"/>
      <c r="H19"/>
      <c r="J19"/>
      <c r="K19"/>
      <c r="L19" s="11"/>
      <c r="Q19"/>
    </row>
    <row r="20" spans="2:17" x14ac:dyDescent="0.3">
      <c r="B20"/>
      <c r="E20"/>
      <c r="H20"/>
      <c r="J20"/>
      <c r="K20"/>
      <c r="L20" s="11"/>
      <c r="Q20"/>
    </row>
    <row r="21" spans="2:17" x14ac:dyDescent="0.3">
      <c r="B21"/>
      <c r="E21"/>
      <c r="H21"/>
      <c r="J21"/>
      <c r="K21"/>
      <c r="L21" s="11"/>
      <c r="Q21"/>
    </row>
    <row r="22" spans="2:17" x14ac:dyDescent="0.3">
      <c r="B22"/>
      <c r="E22"/>
      <c r="H22"/>
      <c r="J22"/>
      <c r="K22"/>
      <c r="L22" s="11"/>
      <c r="Q22"/>
    </row>
    <row r="23" spans="2:17" x14ac:dyDescent="0.3">
      <c r="B23"/>
      <c r="E23"/>
      <c r="H23"/>
      <c r="J23"/>
      <c r="K23"/>
      <c r="L23" s="11"/>
      <c r="Q23"/>
    </row>
    <row r="24" spans="2:17" x14ac:dyDescent="0.3">
      <c r="B24"/>
      <c r="E24"/>
      <c r="H24"/>
      <c r="J24"/>
      <c r="K24"/>
      <c r="L24" s="11"/>
      <c r="Q24"/>
    </row>
    <row r="25" spans="2:17" x14ac:dyDescent="0.3">
      <c r="B25"/>
      <c r="E25"/>
      <c r="H25"/>
      <c r="J25"/>
      <c r="K25"/>
      <c r="L25" s="11"/>
      <c r="Q25"/>
    </row>
    <row r="26" spans="2:17" x14ac:dyDescent="0.3">
      <c r="B26"/>
      <c r="E26"/>
      <c r="H26"/>
      <c r="J26"/>
      <c r="K26"/>
      <c r="L26" s="11"/>
      <c r="Q26"/>
    </row>
    <row r="27" spans="2:17" x14ac:dyDescent="0.3">
      <c r="B27"/>
      <c r="E27"/>
      <c r="H27"/>
      <c r="J27"/>
      <c r="K27"/>
      <c r="L27" s="11"/>
      <c r="Q27"/>
    </row>
    <row r="28" spans="2:17" x14ac:dyDescent="0.3">
      <c r="B28"/>
      <c r="E28"/>
      <c r="H28"/>
      <c r="J28"/>
      <c r="K28"/>
      <c r="L28" s="11"/>
      <c r="Q28"/>
    </row>
    <row r="29" spans="2:17" x14ac:dyDescent="0.3">
      <c r="B29"/>
      <c r="E29"/>
      <c r="H29"/>
      <c r="J29"/>
      <c r="K29"/>
      <c r="L29" s="11"/>
      <c r="Q29"/>
    </row>
    <row r="30" spans="2:17" x14ac:dyDescent="0.3">
      <c r="B30"/>
      <c r="E30"/>
      <c r="H30"/>
      <c r="J30"/>
      <c r="K30"/>
      <c r="L30" s="11"/>
      <c r="Q30"/>
    </row>
    <row r="31" spans="2:17" x14ac:dyDescent="0.3">
      <c r="B31"/>
      <c r="E31"/>
      <c r="H31"/>
      <c r="J31"/>
      <c r="K31"/>
      <c r="L31" s="11"/>
      <c r="Q31"/>
    </row>
    <row r="32" spans="2:17" x14ac:dyDescent="0.3">
      <c r="B32"/>
      <c r="E32"/>
      <c r="H32"/>
      <c r="J32"/>
      <c r="K32"/>
      <c r="L32" s="11"/>
      <c r="Q32"/>
    </row>
    <row r="33" spans="2:17" x14ac:dyDescent="0.3">
      <c r="B33"/>
      <c r="E33"/>
      <c r="H33"/>
      <c r="J33"/>
      <c r="K33"/>
      <c r="L33" s="11"/>
      <c r="Q33"/>
    </row>
    <row r="34" spans="2:17" x14ac:dyDescent="0.3">
      <c r="B34"/>
      <c r="E34"/>
      <c r="H34"/>
      <c r="J34"/>
      <c r="K34"/>
      <c r="L34" s="11"/>
      <c r="Q34"/>
    </row>
    <row r="35" spans="2:17" x14ac:dyDescent="0.3">
      <c r="B35"/>
      <c r="E35"/>
      <c r="H35"/>
      <c r="J35"/>
      <c r="K35"/>
      <c r="L35" s="11"/>
      <c r="Q35"/>
    </row>
    <row r="36" spans="2:17" x14ac:dyDescent="0.3">
      <c r="B36"/>
      <c r="E36"/>
      <c r="H36"/>
      <c r="J36"/>
      <c r="K36"/>
      <c r="L36" s="11"/>
      <c r="Q36"/>
    </row>
    <row r="37" spans="2:17" x14ac:dyDescent="0.3">
      <c r="B37"/>
      <c r="E37"/>
      <c r="H37"/>
      <c r="J37"/>
      <c r="K37"/>
      <c r="L37" s="11"/>
      <c r="Q37"/>
    </row>
    <row r="38" spans="2:17" x14ac:dyDescent="0.3">
      <c r="B38"/>
      <c r="E38"/>
      <c r="H38"/>
      <c r="J38"/>
      <c r="K38"/>
      <c r="L38" s="11"/>
      <c r="Q38"/>
    </row>
    <row r="39" spans="2:17" x14ac:dyDescent="0.3">
      <c r="B39"/>
      <c r="E39"/>
      <c r="H39"/>
      <c r="J39"/>
      <c r="K39"/>
      <c r="L39" s="11"/>
      <c r="Q39"/>
    </row>
    <row r="40" spans="2:17" x14ac:dyDescent="0.3">
      <c r="B40"/>
      <c r="E40"/>
      <c r="H40"/>
      <c r="J40"/>
      <c r="K40"/>
      <c r="L40" s="11"/>
      <c r="Q40"/>
    </row>
    <row r="41" spans="2:17" x14ac:dyDescent="0.3">
      <c r="B41"/>
      <c r="E41"/>
      <c r="H41"/>
      <c r="J41"/>
      <c r="K41"/>
      <c r="L41" s="11"/>
      <c r="Q41"/>
    </row>
    <row r="42" spans="2:17" x14ac:dyDescent="0.3">
      <c r="B42"/>
      <c r="E42"/>
      <c r="H42"/>
      <c r="J42"/>
      <c r="K42"/>
      <c r="L42" s="11"/>
      <c r="Q42"/>
    </row>
    <row r="43" spans="2:17" x14ac:dyDescent="0.3">
      <c r="B43"/>
      <c r="E43"/>
      <c r="H43"/>
      <c r="J43"/>
      <c r="K43"/>
      <c r="L43" s="11"/>
      <c r="Q43"/>
    </row>
    <row r="44" spans="2:17" x14ac:dyDescent="0.3">
      <c r="B44"/>
      <c r="E44"/>
      <c r="H44"/>
      <c r="J44"/>
      <c r="K44"/>
      <c r="L44" s="11"/>
      <c r="Q44"/>
    </row>
    <row r="45" spans="2:17" x14ac:dyDescent="0.3">
      <c r="B45"/>
      <c r="E45"/>
      <c r="H45"/>
      <c r="J45"/>
      <c r="K45"/>
      <c r="L45" s="11"/>
      <c r="Q45"/>
    </row>
    <row r="46" spans="2:17" x14ac:dyDescent="0.3">
      <c r="B46"/>
      <c r="E46"/>
      <c r="H46"/>
      <c r="J46"/>
      <c r="K46"/>
      <c r="L46" s="11"/>
      <c r="Q46"/>
    </row>
    <row r="47" spans="2:17" x14ac:dyDescent="0.3">
      <c r="B47"/>
      <c r="E47"/>
      <c r="H47"/>
      <c r="J47"/>
      <c r="K47"/>
      <c r="L47" s="11"/>
      <c r="Q47"/>
    </row>
    <row r="48" spans="2:17" x14ac:dyDescent="0.3">
      <c r="B48"/>
      <c r="E48"/>
      <c r="H48"/>
      <c r="J48"/>
      <c r="K48"/>
      <c r="L48" s="11"/>
      <c r="Q48"/>
    </row>
    <row r="49" spans="2:17" x14ac:dyDescent="0.3">
      <c r="B49"/>
      <c r="E49"/>
      <c r="H49"/>
      <c r="J49"/>
      <c r="K49"/>
      <c r="L49" s="11"/>
      <c r="Q49"/>
    </row>
    <row r="50" spans="2:17" x14ac:dyDescent="0.3">
      <c r="B50"/>
      <c r="E50"/>
      <c r="H50"/>
      <c r="J50"/>
      <c r="K50"/>
      <c r="L50" s="11"/>
      <c r="Q50"/>
    </row>
    <row r="51" spans="2:17" x14ac:dyDescent="0.3">
      <c r="B51"/>
      <c r="E51"/>
      <c r="H51"/>
      <c r="J51"/>
      <c r="K51"/>
      <c r="L51" s="11"/>
      <c r="Q51"/>
    </row>
    <row r="52" spans="2:17" x14ac:dyDescent="0.3">
      <c r="B52"/>
      <c r="E52"/>
      <c r="H52"/>
      <c r="J52"/>
      <c r="K52"/>
      <c r="L52" s="11"/>
      <c r="Q52"/>
    </row>
    <row r="53" spans="2:17" x14ac:dyDescent="0.3">
      <c r="B53"/>
      <c r="J53"/>
      <c r="K53"/>
      <c r="L53" s="11"/>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1540-5814-44BE-9CCB-53F298D6E186}">
  <dimension ref="A1"/>
  <sheetViews>
    <sheetView showGridLines="0" showRowColHeaders="0" tabSelected="1" topLeftCell="D1" zoomScale="41" workbookViewId="0">
      <selection activeCell="AX14" sqref="AX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2A351E-A9A9-46FF-ADBC-C0F4A87F3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Onabanjo</dc:creator>
  <cp:lastModifiedBy>David Onabanjo</cp:lastModifiedBy>
  <dcterms:created xsi:type="dcterms:W3CDTF">2025-11-24T20:36:37Z</dcterms:created>
  <dcterms:modified xsi:type="dcterms:W3CDTF">2026-01-03T19:50:37Z</dcterms:modified>
</cp:coreProperties>
</file>